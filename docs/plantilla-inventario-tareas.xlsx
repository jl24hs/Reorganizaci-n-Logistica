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rama de Flujo" sheetId="1" state="visible" r:id="rId1"/>
    <sheet name="AB - Control Agosto 2026" sheetId="2" state="visible" r:id="rId2"/>
    <sheet name="RM - Control Agosto 2026" sheetId="3" state="visible" r:id="rId3"/>
    <sheet name="Inventario de Tareas" sheetId="4" state="visible" r:id="rId4"/>
    <sheet name="Como usar esta planilla" sheetId="5" state="visible" r:id="rId5"/>
  </sheets>
  <definedNames>
    <definedName name="_xlnm._FilterDatabase" localSheetId="3" hidden="1">'Inventario de Tareas'!$A$1:$M$538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sz val="11"/>
    </font>
    <font>
      <name val="Arial"/>
      <b val="1"/>
      <color rgb="00FFFFFF"/>
      <sz val="11"/>
    </font>
    <font>
      <name val="Arial"/>
      <i val="1"/>
      <color rgb="00FFFFFF"/>
      <sz val="9"/>
    </font>
    <font>
      <name val="Arial"/>
      <color rgb="00FFFFFF"/>
      <sz val="9"/>
    </font>
    <font>
      <name val="Arial"/>
      <b val="1"/>
      <sz val="11"/>
    </font>
    <font>
      <name val="Arial"/>
      <i val="1"/>
      <sz val="9"/>
    </font>
    <font>
      <name val="Arial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sz val="10"/>
    </font>
    <font>
      <name val="Arial"/>
      <color rgb="00808080"/>
      <sz val="8"/>
    </font>
    <font>
      <name val="Arial"/>
      <sz val="8"/>
    </font>
    <font>
      <name val="Arial"/>
      <i val="1"/>
      <sz val="8"/>
    </font>
    <font>
      <name val="Arial"/>
      <b val="1"/>
      <sz val="8"/>
    </font>
  </fonts>
  <fills count="10">
    <fill>
      <patternFill/>
    </fill>
    <fill>
      <patternFill patternType="gray125"/>
    </fill>
    <fill>
      <patternFill patternType="solid">
        <fgColor rgb="001F5C8B"/>
      </patternFill>
    </fill>
    <fill>
      <patternFill patternType="solid">
        <fgColor rgb="00C6E6C6"/>
      </patternFill>
    </fill>
    <fill>
      <patternFill patternType="solid">
        <fgColor rgb="00F6D9B0"/>
      </patternFill>
    </fill>
    <fill>
      <patternFill patternType="solid">
        <fgColor rgb="002E4A63"/>
      </patternFill>
    </fill>
    <fill>
      <patternFill patternType="solid">
        <fgColor rgb="00DCE6EE"/>
      </patternFill>
    </fill>
    <fill>
      <patternFill patternType="solid">
        <fgColor rgb="00F0F4F7"/>
      </patternFill>
    </fill>
    <fill>
      <patternFill patternType="solid">
        <fgColor rgb="00FBEFD1"/>
      </patternFill>
    </fill>
    <fill>
      <patternFill patternType="solid">
        <fgColor rgb="00EDE3F5"/>
      </patternFill>
    </fill>
  </fills>
  <borders count="2">
    <border>
      <left/>
      <right/>
      <top/>
      <bottom/>
      <diagonal/>
    </border>
    <border>
      <left style="thin">
        <color rgb="00C3D0DA"/>
      </left>
      <right style="thin">
        <color rgb="00C3D0DA"/>
      </right>
      <top style="thin">
        <color rgb="00C3D0DA"/>
      </top>
      <bottom style="thin">
        <color rgb="00C3D0D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5" fillId="2" borderId="1" applyAlignment="1" pivotButton="0" quotePrefix="0" xfId="0">
      <alignment vertical="center" wrapText="1"/>
    </xf>
    <xf numFmtId="0" fontId="6" fillId="2" borderId="1" pivotButton="0" quotePrefix="0" xfId="0"/>
    <xf numFmtId="0" fontId="7" fillId="2" borderId="1" pivotButton="0" quotePrefix="0" xfId="0"/>
    <xf numFmtId="0" fontId="7" fillId="2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 indent="1"/>
    </xf>
    <xf numFmtId="0" fontId="6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 indent="2"/>
    </xf>
    <xf numFmtId="0" fontId="9" fillId="6" borderId="1" pivotButton="0" quotePrefix="0" xfId="0"/>
    <xf numFmtId="0" fontId="10" fillId="6" borderId="1" pivotButton="0" quotePrefix="0" xfId="0"/>
    <xf numFmtId="0" fontId="10" fillId="6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 indent="3"/>
    </xf>
    <xf numFmtId="0" fontId="9" fillId="3" borderId="1" pivotButton="0" quotePrefix="0" xfId="0"/>
    <xf numFmtId="0" fontId="10" fillId="3" borderId="1" pivotButton="0" quotePrefix="0" xfId="0"/>
    <xf numFmtId="0" fontId="10" fillId="3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 indent="3"/>
    </xf>
    <xf numFmtId="0" fontId="9" fillId="7" borderId="1" pivotButton="0" quotePrefix="0" xfId="0"/>
    <xf numFmtId="0" fontId="10" fillId="7" borderId="1" pivotButton="0" quotePrefix="0" xfId="0"/>
    <xf numFmtId="0" fontId="10" fillId="7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 indent="4"/>
    </xf>
    <xf numFmtId="0" fontId="2" fillId="4" borderId="1" applyAlignment="1" pivotButton="0" quotePrefix="0" xfId="0">
      <alignment vertical="center" wrapText="1" indent="4"/>
    </xf>
    <xf numFmtId="0" fontId="9" fillId="4" borderId="1" pivotButton="0" quotePrefix="0" xfId="0"/>
    <xf numFmtId="0" fontId="10" fillId="4" borderId="1" pivotButton="0" quotePrefix="0" xfId="0"/>
    <xf numFmtId="0" fontId="10" fillId="4" borderId="1" applyAlignment="1" pivotButton="0" quotePrefix="0" xfId="0">
      <alignment vertical="center" wrapText="1"/>
    </xf>
    <xf numFmtId="0" fontId="11" fillId="2" borderId="1" applyAlignment="1" pivotButton="0" quotePrefix="0" xfId="0">
      <alignment vertical="center" wrapText="1"/>
    </xf>
    <xf numFmtId="0" fontId="12" fillId="5" borderId="1" applyAlignment="1" pivotButton="0" quotePrefix="0" xfId="0">
      <alignment horizontal="center" vertical="center" textRotation="90"/>
    </xf>
    <xf numFmtId="0" fontId="12" fillId="2" borderId="1" applyAlignment="1" pivotButton="0" quotePrefix="0" xfId="0">
      <alignment horizontal="center" vertical="center" textRotation="90"/>
    </xf>
    <xf numFmtId="0" fontId="13" fillId="6" borderId="1" pivotButton="0" quotePrefix="0" xfId="0"/>
    <xf numFmtId="0" fontId="0" fillId="6" borderId="1" pivotButton="0" quotePrefix="0" xfId="0"/>
    <xf numFmtId="0" fontId="14" fillId="0" borderId="1" pivotButton="0" quotePrefix="0" xfId="0"/>
    <xf numFmtId="0" fontId="10" fillId="0" borderId="1" pivotButton="0" quotePrefix="0" xfId="0"/>
    <xf numFmtId="0" fontId="10" fillId="0" borderId="1" applyAlignment="1" pivotButton="0" quotePrefix="0" xfId="0">
      <alignment vertical="center" wrapText="1"/>
    </xf>
    <xf numFmtId="0" fontId="15" fillId="0" borderId="1" pivotButton="0" quotePrefix="0" xfId="0"/>
    <xf numFmtId="0" fontId="16" fillId="0" borderId="1" pivotButton="0" quotePrefix="0" xfId="0"/>
    <xf numFmtId="0" fontId="0" fillId="0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13" fillId="0" borderId="0" pivotButton="0" quotePrefix="0" xfId="0"/>
    <xf numFmtId="0" fontId="16" fillId="0" borderId="0" pivotButton="0" quotePrefix="0" xfId="0"/>
    <xf numFmtId="0" fontId="15" fillId="0" borderId="0" applyAlignment="1" pivotButton="0" quotePrefix="0" xfId="0">
      <alignment horizontal="center"/>
    </xf>
    <xf numFmtId="0" fontId="17" fillId="0" borderId="0" pivotButton="0" quotePrefix="0" xfId="0"/>
    <xf numFmtId="0" fontId="17" fillId="0" borderId="0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00F6B0B0"/>
        </patternFill>
      </fill>
    </dxf>
    <dxf>
      <fill>
        <patternFill patternType="solid">
          <fgColor rgb="00C6E6C6"/>
        </patternFill>
      </fill>
    </dxf>
    <dxf>
      <fill>
        <patternFill patternType="solid">
          <fgColor rgb="00A9D9A9"/>
        </patternFill>
      </fill>
    </dxf>
    <dxf>
      <fill>
        <patternFill patternType="solid">
          <fgColor rgb="00E3A9A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20" customWidth="1" min="3" max="3"/>
    <col width="16" customWidth="1" min="4" max="4"/>
    <col width="14" customWidth="1" min="5" max="5"/>
    <col width="60" customWidth="1" min="6" max="6"/>
  </cols>
  <sheetData>
    <row r="1">
      <c r="A1" s="8" t="inlineStr">
        <is>
          <t>Elemento</t>
        </is>
      </c>
      <c r="B1" s="8" t="inlineStr">
        <is>
          <t>Tipo</t>
        </is>
      </c>
      <c r="C1" s="8" t="inlineStr">
        <is>
          <t>Responsable</t>
        </is>
      </c>
      <c r="D1" s="8" t="inlineStr">
        <is>
          <t>Frecuencia</t>
        </is>
      </c>
      <c r="E1" s="8" t="inlineStr">
        <is>
          <t>Tiempo (min)</t>
        </is>
      </c>
      <c r="F1" s="8" t="inlineStr">
        <is>
          <t>Detalle / Observaciones</t>
        </is>
      </c>
    </row>
    <row r="2" ht="30" customHeight="1">
      <c r="A2" s="9" t="inlineStr">
        <is>
          <t>Julian Lopez -&gt; Gestion de Tareas de LOG</t>
        </is>
      </c>
      <c r="B2" s="10" t="inlineStr">
        <is>
          <t>Raiz / Proceso macro</t>
        </is>
      </c>
      <c r="C2" s="11" t="inlineStr"/>
      <c r="D2" s="11" t="inlineStr"/>
      <c r="E2" s="11" t="inlineStr"/>
      <c r="F2" s="12" t="inlineStr"/>
    </row>
    <row r="3" outlineLevel="1" ht="30" customHeight="1">
      <c r="A3" s="13" t="inlineStr">
        <is>
          <t>▸ AB - Ariel Bazan</t>
        </is>
      </c>
      <c r="B3" s="14" t="inlineStr">
        <is>
          <t>Rama</t>
        </is>
      </c>
      <c r="C3" s="15" t="inlineStr"/>
      <c r="D3" s="15" t="inlineStr"/>
      <c r="E3" s="15" t="inlineStr"/>
      <c r="F3" s="16" t="inlineStr"/>
    </row>
    <row r="4" outlineLevel="2" ht="30" customHeight="1">
      <c r="A4" s="17" t="inlineStr">
        <is>
          <t>→ Administracion General (AB)</t>
        </is>
      </c>
      <c r="B4" s="18" t="inlineStr">
        <is>
          <t>Proceso</t>
        </is>
      </c>
      <c r="C4" s="19" t="inlineStr"/>
      <c r="D4" s="19" t="inlineStr"/>
      <c r="E4" s="19" t="inlineStr"/>
      <c r="F4" s="20" t="inlineStr"/>
    </row>
    <row r="5" outlineLevel="3" ht="20" customHeight="1">
      <c r="A5" s="21" t="inlineStr">
        <is>
          <t>• Control e impresion de R.E.E.</t>
        </is>
      </c>
      <c r="B5" s="22" t="inlineStr">
        <is>
          <t>Tarea</t>
        </is>
      </c>
      <c r="C5" s="23" t="inlineStr">
        <is>
          <t>AB</t>
        </is>
      </c>
      <c r="D5" s="23" t="inlineStr">
        <is>
          <t>Mensual</t>
        </is>
      </c>
      <c r="E5" s="23" t="inlineStr">
        <is>
          <t>60</t>
        </is>
      </c>
      <c r="F5" s="24" t="inlineStr">
        <is>
          <t>Dia/momento: Ultimo miercoles. | Tiempo de origen (planilla Procesos Diarios) sin validar - no usar para calcular horas hasta confirmar con AB/RM</t>
        </is>
      </c>
    </row>
    <row r="6" outlineLevel="3" ht="20" customHeight="1">
      <c r="A6" s="21" t="inlineStr">
        <is>
          <t>• Control y solicitud de CSID a CM</t>
        </is>
      </c>
      <c r="B6" s="22" t="inlineStr">
        <is>
          <t>Tarea</t>
        </is>
      </c>
      <c r="C6" s="23" t="inlineStr">
        <is>
          <t>AB</t>
        </is>
      </c>
      <c r="D6" s="23" t="inlineStr">
        <is>
          <t>Quincenal</t>
        </is>
      </c>
      <c r="E6" s="23" t="inlineStr">
        <is>
          <t>15</t>
        </is>
      </c>
      <c r="F6" s="24" t="inlineStr">
        <is>
          <t>Dia/momento: 2do y 4to jueves. | Tiempo de origen (planilla Procesos Diarios) sin validar - no usar para calcular horas hasta confirmar con AB/RM</t>
        </is>
      </c>
    </row>
    <row r="7" outlineLevel="3" ht="20" customHeight="1">
      <c r="A7" s="21" t="inlineStr">
        <is>
          <t>• Actualizacion de Datacenter / servidores</t>
        </is>
      </c>
      <c r="B7" s="22" t="inlineStr">
        <is>
          <t>Tarea</t>
        </is>
      </c>
      <c r="C7" s="23" t="inlineStr">
        <is>
          <t>AB / RM</t>
        </is>
      </c>
      <c r="D7" s="23" t="inlineStr">
        <is>
          <t>Mensual</t>
        </is>
      </c>
      <c r="E7" s="23" t="inlineStr">
        <is>
          <t>A confirmar</t>
        </is>
      </c>
      <c r="F7" s="24" t="inlineStr">
        <is>
          <t>Dia/momento: Primer dia. Responsable en el catalogo figura como LOG (sin persona especifica asignada)</t>
        </is>
      </c>
    </row>
    <row r="8" outlineLevel="2" ht="30" customHeight="1">
      <c r="A8" s="17" t="inlineStr">
        <is>
          <t>→ Jueves - Chips</t>
        </is>
      </c>
      <c r="B8" s="18" t="inlineStr">
        <is>
          <t>Proceso</t>
        </is>
      </c>
      <c r="C8" s="19" t="inlineStr"/>
      <c r="D8" s="19" t="inlineStr"/>
      <c r="E8" s="19" t="inlineStr"/>
      <c r="F8" s="20" t="inlineStr"/>
    </row>
    <row r="9" outlineLevel="3" ht="20" customHeight="1">
      <c r="A9" s="25" t="inlineStr">
        <is>
          <t>› Bloqueo y Desbloqueo - AXpro</t>
        </is>
      </c>
      <c r="B9" s="26" t="inlineStr">
        <is>
          <t>Procedimiento</t>
        </is>
      </c>
      <c r="C9" s="27" t="inlineStr"/>
      <c r="D9" s="27" t="inlineStr"/>
      <c r="E9" s="27" t="inlineStr"/>
      <c r="F9" s="28" t="inlineStr"/>
    </row>
    <row r="10" outlineLevel="4" ht="20" customHeight="1">
      <c r="A10" s="29" t="inlineStr">
        <is>
          <t>• Bloqueo de equipos AXpro</t>
        </is>
      </c>
      <c r="B10" s="22" t="inlineStr">
        <is>
          <t>Tarea</t>
        </is>
      </c>
      <c r="C10" s="23" t="inlineStr">
        <is>
          <t>AB</t>
        </is>
      </c>
      <c r="D10" s="23" t="inlineStr">
        <is>
          <t>Semanal</t>
        </is>
      </c>
      <c r="E10" s="23" t="inlineStr">
        <is>
          <t>30</t>
        </is>
      </c>
      <c r="F10" s="24" t="inlineStr">
        <is>
          <t>Dia/momento: Jueves. Renombrado a 'Chips' el 18/08/2026 por correccion de JL: el jueves de AB es Chips, no 'Ingreso Remoto a Clientes'. JL confirmo (18/08/2026): es el mismo proceso Chips que 'Gestion de Chips (administrativo)' de RM (dos procedimientos: operativo AB / administrativo RM). Fusion pendiente de hacer en detalle mas adelante. | Tiempo de origen (planilla Procesos Diarios) sin validar - no usar para calcular horas hasta confirmar con AB/RM</t>
        </is>
      </c>
    </row>
    <row r="11" outlineLevel="4" ht="20" customHeight="1">
      <c r="A11" s="29" t="inlineStr">
        <is>
          <t>• Desbloqueo de equipos AXpro</t>
        </is>
      </c>
      <c r="B11" s="22" t="inlineStr">
        <is>
          <t>Tarea</t>
        </is>
      </c>
      <c r="C11" s="23" t="inlineStr">
        <is>
          <t>AB</t>
        </is>
      </c>
      <c r="D11" s="23" t="inlineStr">
        <is>
          <t>Semanal</t>
        </is>
      </c>
      <c r="E11" s="23" t="inlineStr">
        <is>
          <t>30</t>
        </is>
      </c>
      <c r="F11" s="24" t="inlineStr">
        <is>
          <t>Dia/momento: Jueves. | Tiempo de origen (planilla Procesos Diarios) sin validar - no usar para calcular horas hasta confirmar con AB/RM</t>
        </is>
      </c>
    </row>
    <row r="12" outlineLevel="3" ht="20" customHeight="1">
      <c r="A12" s="25" t="inlineStr">
        <is>
          <t>› Bloqueo y Desbloqueo - Paradox (remoto)</t>
        </is>
      </c>
      <c r="B12" s="26" t="inlineStr">
        <is>
          <t>Procedimiento</t>
        </is>
      </c>
      <c r="C12" s="27" t="inlineStr"/>
      <c r="D12" s="27" t="inlineStr"/>
      <c r="E12" s="27" t="inlineStr"/>
      <c r="F12" s="28" t="inlineStr"/>
    </row>
    <row r="13" outlineLevel="4" ht="20" customHeight="1">
      <c r="A13" s="29" t="inlineStr">
        <is>
          <t>• Bloqueo de equipos Paradox (PDX, remoto)</t>
        </is>
      </c>
      <c r="B13" s="22" t="inlineStr">
        <is>
          <t>Tarea</t>
        </is>
      </c>
      <c r="C13" s="23" t="inlineStr">
        <is>
          <t>AB</t>
        </is>
      </c>
      <c r="D13" s="23" t="inlineStr">
        <is>
          <t>Semanal</t>
        </is>
      </c>
      <c r="E13" s="23" t="inlineStr">
        <is>
          <t>30</t>
        </is>
      </c>
      <c r="F13" s="24" t="inlineStr">
        <is>
          <t>Dia/momento: Jueves. | Tiempo de origen (planilla Procesos Diarios) sin validar - no usar para calcular horas hasta confirmar con AB/RM</t>
        </is>
      </c>
    </row>
    <row r="14" outlineLevel="4" ht="20" customHeight="1">
      <c r="A14" s="29" t="inlineStr">
        <is>
          <t>• Desbloqueo de equipos Paradox (PDX, remoto)</t>
        </is>
      </c>
      <c r="B14" s="22" t="inlineStr">
        <is>
          <t>Tarea</t>
        </is>
      </c>
      <c r="C14" s="23" t="inlineStr">
        <is>
          <t>AB</t>
        </is>
      </c>
      <c r="D14" s="23" t="inlineStr">
        <is>
          <t>Semanal</t>
        </is>
      </c>
      <c r="E14" s="23" t="inlineStr">
        <is>
          <t>30</t>
        </is>
      </c>
      <c r="F14" s="24" t="inlineStr">
        <is>
          <t>Dia/momento: Jueves. | Tiempo de origen (planilla Procesos Diarios) sin validar - no usar para calcular horas hasta confirmar con AB/RM</t>
        </is>
      </c>
    </row>
    <row r="15" outlineLevel="2" ht="30" customHeight="1">
      <c r="A15" s="17" t="inlineStr">
        <is>
          <t>→ Lunes - Falla de Tests</t>
        </is>
      </c>
      <c r="B15" s="18" t="inlineStr">
        <is>
          <t>Proceso</t>
        </is>
      </c>
      <c r="C15" s="19" t="inlineStr"/>
      <c r="D15" s="19" t="inlineStr"/>
      <c r="E15" s="19" t="inlineStr"/>
      <c r="F15" s="20" t="inlineStr"/>
    </row>
    <row r="16" outlineLevel="3" ht="20" customHeight="1">
      <c r="A16" s="25" t="inlineStr">
        <is>
          <t>› Instructivo General (documento vinculado)</t>
        </is>
      </c>
      <c r="B16" s="26" t="inlineStr">
        <is>
          <t>Procedimiento</t>
        </is>
      </c>
      <c r="C16" s="27" t="inlineStr"/>
      <c r="D16" s="27" t="inlineStr"/>
      <c r="E16" s="27" t="inlineStr"/>
      <c r="F16" s="28" t="inlineStr"/>
    </row>
    <row r="17" outlineLevel="4" ht="20" customHeight="1">
      <c r="A17" s="29" t="inlineStr">
        <is>
          <t>• Falla de Test - procedimiento general</t>
        </is>
      </c>
      <c r="B17" s="22" t="inlineStr">
        <is>
          <t>Tarea</t>
        </is>
      </c>
      <c r="C17" s="23" t="inlineStr">
        <is>
          <t>AB</t>
        </is>
      </c>
      <c r="D17" s="23" t="inlineStr">
        <is>
          <t>Semanal</t>
        </is>
      </c>
      <c r="E17" s="23" t="inlineStr">
        <is>
          <t>30</t>
        </is>
      </c>
      <c r="F17" s="24" t="inlineStr">
        <is>
          <t>Dia/momento: Lunes. Tiene instructivo en Drive vinculado. | Tiempo de origen (planilla Procesos Diarios) sin validar - no usar para calcular horas hasta confirmar con AB/RM</t>
        </is>
      </c>
    </row>
    <row r="18" outlineLevel="3" ht="20" customHeight="1">
      <c r="A18" s="25" t="inlineStr">
        <is>
          <t>› Envio de Mail</t>
        </is>
      </c>
      <c r="B18" s="26" t="inlineStr">
        <is>
          <t>Procedimiento</t>
        </is>
      </c>
      <c r="C18" s="27" t="inlineStr"/>
      <c r="D18" s="27" t="inlineStr"/>
      <c r="E18" s="27" t="inlineStr"/>
      <c r="F18" s="28" t="inlineStr"/>
    </row>
    <row r="19" outlineLevel="4" ht="20" customHeight="1">
      <c r="A19" s="30" t="inlineStr">
        <is>
          <t>• Pendiente de cargar (gap)</t>
        </is>
      </c>
      <c r="B19" s="31" t="inlineStr">
        <is>
          <t>Tarea</t>
        </is>
      </c>
      <c r="C19" s="32" t="inlineStr">
        <is>
          <t>AB</t>
        </is>
      </c>
      <c r="D19" s="32" t="inlineStr">
        <is>
          <t>A confirmar</t>
        </is>
      </c>
      <c r="E19" s="32" t="inlineStr">
        <is>
          <t>A confirmar</t>
        </is>
      </c>
      <c r="F19" s="33" t="inlineStr">
        <is>
          <t>JL (18/08/2026): dentro de Falla de Test hay que abrir este procedimiento por separado</t>
        </is>
      </c>
    </row>
    <row r="20" outlineLevel="3" ht="20" customHeight="1">
      <c r="A20" s="25" t="inlineStr">
        <is>
          <t>› Llamado a Clientes</t>
        </is>
      </c>
      <c r="B20" s="26" t="inlineStr">
        <is>
          <t>Procedimiento</t>
        </is>
      </c>
      <c r="C20" s="27" t="inlineStr"/>
      <c r="D20" s="27" t="inlineStr"/>
      <c r="E20" s="27" t="inlineStr"/>
      <c r="F20" s="28" t="inlineStr"/>
    </row>
    <row r="21" outlineLevel="4" ht="20" customHeight="1">
      <c r="A21" s="30" t="inlineStr">
        <is>
          <t>• Pendiente de cargar (gap)</t>
        </is>
      </c>
      <c r="B21" s="31" t="inlineStr">
        <is>
          <t>Tarea</t>
        </is>
      </c>
      <c r="C21" s="32" t="inlineStr">
        <is>
          <t>AB</t>
        </is>
      </c>
      <c r="D21" s="32" t="inlineStr">
        <is>
          <t>A confirmar</t>
        </is>
      </c>
      <c r="E21" s="32" t="inlineStr">
        <is>
          <t>A confirmar</t>
        </is>
      </c>
      <c r="F21" s="33" t="inlineStr">
        <is>
          <t>JL (18/08/2026): dentro de Falla de Test hay que abrir este procedimiento por separado</t>
        </is>
      </c>
    </row>
    <row r="22" outlineLevel="3" ht="20" customHeight="1">
      <c r="A22" s="25" t="inlineStr">
        <is>
          <t>› Coordinacion de Servicios Tecnicos</t>
        </is>
      </c>
      <c r="B22" s="26" t="inlineStr">
        <is>
          <t>Procedimiento</t>
        </is>
      </c>
      <c r="C22" s="27" t="inlineStr"/>
      <c r="D22" s="27" t="inlineStr"/>
      <c r="E22" s="27" t="inlineStr"/>
      <c r="F22" s="28" t="inlineStr"/>
    </row>
    <row r="23" outlineLevel="4" ht="20" customHeight="1">
      <c r="A23" s="29" t="inlineStr">
        <is>
          <t>• Falla de Test - Coordinacion con ST</t>
        </is>
      </c>
      <c r="B23" s="22" t="inlineStr">
        <is>
          <t>Tarea</t>
        </is>
      </c>
      <c r="C23" s="23" t="inlineStr">
        <is>
          <t>AB</t>
        </is>
      </c>
      <c r="D23" s="23" t="inlineStr">
        <is>
          <t>Diario</t>
        </is>
      </c>
      <c r="E23" s="23" t="inlineStr">
        <is>
          <t>5</t>
        </is>
      </c>
      <c r="F23" s="24" t="inlineStr">
        <is>
          <t>Dia/momento: Primer dia. | Tiempo de origen (planilla Procesos Diarios) sin validar - no usar para calcular horas hasta confirmar con AB/RM</t>
        </is>
      </c>
    </row>
    <row r="24" outlineLevel="3" ht="20" customHeight="1">
      <c r="A24" s="25" t="inlineStr">
        <is>
          <t>› Seguimiento de Servicios Tecnicos</t>
        </is>
      </c>
      <c r="B24" s="26" t="inlineStr">
        <is>
          <t>Procedimiento</t>
        </is>
      </c>
      <c r="C24" s="27" t="inlineStr"/>
      <c r="D24" s="27" t="inlineStr"/>
      <c r="E24" s="27" t="inlineStr"/>
      <c r="F24" s="28" t="inlineStr"/>
    </row>
    <row r="25" outlineLevel="4" ht="20" customHeight="1">
      <c r="A25" s="30" t="inlineStr">
        <is>
          <t>• Pendiente de cargar (gap)</t>
        </is>
      </c>
      <c r="B25" s="31" t="inlineStr">
        <is>
          <t>Tarea</t>
        </is>
      </c>
      <c r="C25" s="32" t="inlineStr">
        <is>
          <t>AB</t>
        </is>
      </c>
      <c r="D25" s="32" t="inlineStr">
        <is>
          <t>A confirmar</t>
        </is>
      </c>
      <c r="E25" s="32" t="inlineStr">
        <is>
          <t>A confirmar</t>
        </is>
      </c>
      <c r="F25" s="33" t="inlineStr">
        <is>
          <t>JL (18/08/2026): distinto de 'coordinar' - es el seguimiento posterior</t>
        </is>
      </c>
    </row>
    <row r="26" outlineLevel="3" ht="20" customHeight="1">
      <c r="A26" s="25" t="inlineStr">
        <is>
          <t>› Analisis</t>
        </is>
      </c>
      <c r="B26" s="26" t="inlineStr">
        <is>
          <t>Procedimiento</t>
        </is>
      </c>
      <c r="C26" s="27" t="inlineStr"/>
      <c r="D26" s="27" t="inlineStr"/>
      <c r="E26" s="27" t="inlineStr"/>
      <c r="F26" s="28" t="inlineStr"/>
    </row>
    <row r="27" outlineLevel="4" ht="20" customHeight="1">
      <c r="A27" s="29" t="inlineStr">
        <is>
          <t>• Falla de Test - Analisis</t>
        </is>
      </c>
      <c r="B27" s="22" t="inlineStr">
        <is>
          <t>Tarea</t>
        </is>
      </c>
      <c r="C27" s="23" t="inlineStr">
        <is>
          <t>AB</t>
        </is>
      </c>
      <c r="D27" s="23" t="inlineStr">
        <is>
          <t>Diario</t>
        </is>
      </c>
      <c r="E27" s="23" t="inlineStr">
        <is>
          <t>60</t>
        </is>
      </c>
      <c r="F27" s="24" t="inlineStr">
        <is>
          <t>Dia/momento: Primer dia. | Tiempo de origen (planilla Procesos Diarios) sin validar - no usar para calcular horas hasta confirmar con AB/RM</t>
        </is>
      </c>
    </row>
    <row r="28" outlineLevel="2" ht="30" customHeight="1">
      <c r="A28" s="17" t="inlineStr">
        <is>
          <t>→ Martes - Offline</t>
        </is>
      </c>
      <c r="B28" s="18" t="inlineStr">
        <is>
          <t>Proceso</t>
        </is>
      </c>
      <c r="C28" s="19" t="inlineStr"/>
      <c r="D28" s="19" t="inlineStr"/>
      <c r="E28" s="19" t="inlineStr"/>
      <c r="F28" s="20" t="inlineStr"/>
    </row>
    <row r="29" outlineLevel="3" ht="20" customHeight="1">
      <c r="A29" s="25" t="inlineStr">
        <is>
          <t>› Instructivo General (documento vinculado)</t>
        </is>
      </c>
      <c r="B29" s="26" t="inlineStr">
        <is>
          <t>Procedimiento</t>
        </is>
      </c>
      <c r="C29" s="27" t="inlineStr"/>
      <c r="D29" s="27" t="inlineStr"/>
      <c r="E29" s="27" t="inlineStr"/>
      <c r="F29" s="28" t="inlineStr"/>
    </row>
    <row r="30" outlineLevel="4" ht="20" customHeight="1">
      <c r="A30" s="29" t="inlineStr">
        <is>
          <t>• Offline - procedimiento general</t>
        </is>
      </c>
      <c r="B30" s="22" t="inlineStr">
        <is>
          <t>Tarea</t>
        </is>
      </c>
      <c r="C30" s="23" t="inlineStr">
        <is>
          <t>AB</t>
        </is>
      </c>
      <c r="D30" s="23" t="inlineStr">
        <is>
          <t>Semanal</t>
        </is>
      </c>
      <c r="E30" s="23" t="inlineStr">
        <is>
          <t>A confirmar</t>
        </is>
      </c>
      <c r="F30" s="24" t="inlineStr">
        <is>
          <t>Tiene instructivo en Drive vinculado (Google Doc)</t>
        </is>
      </c>
    </row>
    <row r="31" outlineLevel="3" ht="20" customHeight="1">
      <c r="A31" s="25" t="inlineStr">
        <is>
          <t>› Offline de las 4</t>
        </is>
      </c>
      <c r="B31" s="26" t="inlineStr">
        <is>
          <t>Procedimiento</t>
        </is>
      </c>
      <c r="C31" s="27" t="inlineStr"/>
      <c r="D31" s="27" t="inlineStr"/>
      <c r="E31" s="27" t="inlineStr"/>
      <c r="F31" s="28" t="inlineStr"/>
    </row>
    <row r="32" outlineLevel="4" ht="20" customHeight="1">
      <c r="A32" s="30" t="inlineStr">
        <is>
          <t>• Pendiente de cargar (gap): informe, analisis, coordinacion ST, mail semanal, objetivo</t>
        </is>
      </c>
      <c r="B32" s="31" t="inlineStr">
        <is>
          <t>Tarea</t>
        </is>
      </c>
      <c r="C32" s="32" t="inlineStr">
        <is>
          <t>AB</t>
        </is>
      </c>
      <c r="D32" s="32" t="inlineStr">
        <is>
          <t>A confirmar</t>
        </is>
      </c>
      <c r="E32" s="32" t="inlineStr">
        <is>
          <t>A confirmar</t>
        </is>
      </c>
      <c r="F32" s="33" t="inlineStr">
        <is>
          <t>JL (18/08/2026): cada horario de offline tiene su propio informe/analisis/coordinacion/mail/objetivo</t>
        </is>
      </c>
    </row>
    <row r="33" outlineLevel="3" ht="20" customHeight="1">
      <c r="A33" s="25" t="inlineStr">
        <is>
          <t>› Offline de las 7</t>
        </is>
      </c>
      <c r="B33" s="26" t="inlineStr">
        <is>
          <t>Procedimiento</t>
        </is>
      </c>
      <c r="C33" s="27" t="inlineStr"/>
      <c r="D33" s="27" t="inlineStr"/>
      <c r="E33" s="27" t="inlineStr"/>
      <c r="F33" s="28" t="inlineStr"/>
    </row>
    <row r="34" outlineLevel="4" ht="20" customHeight="1">
      <c r="A34" s="30" t="inlineStr">
        <is>
          <t>• Pendiente de cargar (gap): informe, analisis, coordinacion ST, mail semanal, objetivo</t>
        </is>
      </c>
      <c r="B34" s="31" t="inlineStr">
        <is>
          <t>Tarea</t>
        </is>
      </c>
      <c r="C34" s="32" t="inlineStr">
        <is>
          <t>AB</t>
        </is>
      </c>
      <c r="D34" s="32" t="inlineStr">
        <is>
          <t>A confirmar</t>
        </is>
      </c>
      <c r="E34" s="32" t="inlineStr">
        <is>
          <t>A confirmar</t>
        </is>
      </c>
      <c r="F34" s="33" t="inlineStr">
        <is>
          <t>JL (18/08/2026)</t>
        </is>
      </c>
    </row>
    <row r="35" outlineLevel="3" ht="20" customHeight="1">
      <c r="A35" s="25" t="inlineStr">
        <is>
          <t>› Offline de las 11</t>
        </is>
      </c>
      <c r="B35" s="26" t="inlineStr">
        <is>
          <t>Procedimiento</t>
        </is>
      </c>
      <c r="C35" s="27" t="inlineStr"/>
      <c r="D35" s="27" t="inlineStr"/>
      <c r="E35" s="27" t="inlineStr"/>
      <c r="F35" s="28" t="inlineStr"/>
    </row>
    <row r="36" outlineLevel="4" ht="20" customHeight="1">
      <c r="A36" s="30" t="inlineStr">
        <is>
          <t>• Pendiente de cargar (gap): informe, analisis, coordinacion ST, mail semanal, objetivo</t>
        </is>
      </c>
      <c r="B36" s="31" t="inlineStr">
        <is>
          <t>Tarea</t>
        </is>
      </c>
      <c r="C36" s="32" t="inlineStr">
        <is>
          <t>AB</t>
        </is>
      </c>
      <c r="D36" s="32" t="inlineStr">
        <is>
          <t>A confirmar</t>
        </is>
      </c>
      <c r="E36" s="32" t="inlineStr">
        <is>
          <t>A confirmar</t>
        </is>
      </c>
      <c r="F36" s="33" t="inlineStr">
        <is>
          <t>JL (18/08/2026)</t>
        </is>
      </c>
    </row>
    <row r="37" outlineLevel="3" ht="20" customHeight="1">
      <c r="A37" s="25" t="inlineStr">
        <is>
          <t>› Horario sin asignar (a confirmar cual de los 3)</t>
        </is>
      </c>
      <c r="B37" s="26" t="inlineStr">
        <is>
          <t>Procedimiento</t>
        </is>
      </c>
      <c r="C37" s="27" t="inlineStr"/>
      <c r="D37" s="27" t="inlineStr"/>
      <c r="E37" s="27" t="inlineStr"/>
      <c r="F37" s="28" t="inlineStr"/>
    </row>
    <row r="38" outlineLevel="4" ht="20" customHeight="1">
      <c r="A38" s="29" t="inlineStr">
        <is>
          <t>• Offline - Analisis general</t>
        </is>
      </c>
      <c r="B38" s="22" t="inlineStr">
        <is>
          <t>Tarea</t>
        </is>
      </c>
      <c r="C38" s="23" t="inlineStr">
        <is>
          <t>AB</t>
        </is>
      </c>
      <c r="D38" s="23" t="inlineStr">
        <is>
          <t>Diario</t>
        </is>
      </c>
      <c r="E38" s="23" t="inlineStr">
        <is>
          <t>30</t>
        </is>
      </c>
      <c r="F38" s="24" t="inlineStr">
        <is>
          <t>Dia/momento: Primer dia. Falta confirmar a cual horario (4, 7 u 11) corresponde. | Tiempo de origen (planilla Procesos Diarios) sin validar - no usar para calcular horas hasta confirmar con AB/RM</t>
        </is>
      </c>
    </row>
    <row r="39" outlineLevel="4" ht="20" customHeight="1">
      <c r="A39" s="29" t="inlineStr">
        <is>
          <t>• Offline - Coordinacion con ST</t>
        </is>
      </c>
      <c r="B39" s="22" t="inlineStr">
        <is>
          <t>Tarea</t>
        </is>
      </c>
      <c r="C39" s="23" t="inlineStr">
        <is>
          <t>AB</t>
        </is>
      </c>
      <c r="D39" s="23" t="inlineStr">
        <is>
          <t>Diario</t>
        </is>
      </c>
      <c r="E39" s="23" t="inlineStr">
        <is>
          <t>5</t>
        </is>
      </c>
      <c r="F39" s="24" t="inlineStr">
        <is>
          <t>Dia/momento: Primer dia. Falta confirmar a cual horario (4, 7 u 11) corresponde. | Tiempo de origen (planilla Procesos Diarios) sin validar - no usar para calcular horas hasta confirmar con AB/RM</t>
        </is>
      </c>
    </row>
    <row r="40" outlineLevel="2" ht="30" customHeight="1">
      <c r="A40" s="17" t="inlineStr">
        <is>
          <t>→ Miercoles - Redes</t>
        </is>
      </c>
      <c r="B40" s="18" t="inlineStr">
        <is>
          <t>Proceso</t>
        </is>
      </c>
      <c r="C40" s="19" t="inlineStr"/>
      <c r="D40" s="19" t="inlineStr"/>
      <c r="E40" s="19" t="inlineStr"/>
      <c r="F40" s="20" t="inlineStr"/>
    </row>
    <row r="41" outlineLevel="3" ht="20" customHeight="1">
      <c r="A41" s="25" t="inlineStr">
        <is>
          <t>› Telefonia IP</t>
        </is>
      </c>
      <c r="B41" s="26" t="inlineStr">
        <is>
          <t>Procedimiento</t>
        </is>
      </c>
      <c r="C41" s="27" t="inlineStr"/>
      <c r="D41" s="27" t="inlineStr"/>
      <c r="E41" s="27" t="inlineStr"/>
      <c r="F41" s="28" t="inlineStr"/>
    </row>
    <row r="42" outlineLevel="4" ht="20" customHeight="1">
      <c r="A42" s="29" t="inlineStr">
        <is>
          <t>• Pendiente de desglose</t>
        </is>
      </c>
      <c r="B42" s="22" t="inlineStr">
        <is>
          <t>Tarea</t>
        </is>
      </c>
      <c r="C42" s="23" t="inlineStr">
        <is>
          <t>AB (Ariel Bazan)</t>
        </is>
      </c>
      <c r="D42" s="23" t="inlineStr">
        <is>
          <t>A confirmar</t>
        </is>
      </c>
      <c r="E42" s="23" t="inlineStr">
        <is>
          <t>A confirmar</t>
        </is>
      </c>
      <c r="F42" s="24" t="inlineStr">
        <is>
          <t>Procedimiento confirmado por JL (12/08/2026); sin tareas cargadas todavia</t>
        </is>
      </c>
    </row>
    <row r="43" outlineLevel="3" ht="20" customHeight="1">
      <c r="A43" s="25" t="inlineStr">
        <is>
          <t>› Camaras IP</t>
        </is>
      </c>
      <c r="B43" s="26" t="inlineStr">
        <is>
          <t>Procedimiento</t>
        </is>
      </c>
      <c r="C43" s="27" t="inlineStr"/>
      <c r="D43" s="27" t="inlineStr"/>
      <c r="E43" s="27" t="inlineStr"/>
      <c r="F43" s="28" t="inlineStr"/>
    </row>
    <row r="44" outlineLevel="4" ht="20" customHeight="1">
      <c r="A44" s="29" t="inlineStr">
        <is>
          <t>• Horario de Camaras</t>
        </is>
      </c>
      <c r="B44" s="22" t="inlineStr">
        <is>
          <t>Tarea</t>
        </is>
      </c>
      <c r="C44" s="23" t="inlineStr">
        <is>
          <t>AB (Ariel Bazan)</t>
        </is>
      </c>
      <c r="D44" s="23" t="inlineStr">
        <is>
          <t>Semanal</t>
        </is>
      </c>
      <c r="E44" s="23" t="inlineStr">
        <is>
          <t>5</t>
        </is>
      </c>
      <c r="F44" s="24" t="inlineStr">
        <is>
          <t>Dia/momento: Viernes (segun catalogo). | Tiempo de origen (planilla Procesos Diarios) sin validar - no usar para calcular horas hasta confirmar con AB/RM</t>
        </is>
      </c>
    </row>
    <row r="45" outlineLevel="3" ht="20" customHeight="1">
      <c r="A45" s="25" t="inlineStr">
        <is>
          <t>› Computacion (todas las PCs)</t>
        </is>
      </c>
      <c r="B45" s="26" t="inlineStr">
        <is>
          <t>Procedimiento</t>
        </is>
      </c>
      <c r="C45" s="27" t="inlineStr"/>
      <c r="D45" s="27" t="inlineStr"/>
      <c r="E45" s="27" t="inlineStr"/>
      <c r="F45" s="28" t="inlineStr"/>
    </row>
    <row r="46" outlineLevel="4" ht="20" customHeight="1">
      <c r="A46" s="29" t="inlineStr">
        <is>
          <t>• Norton (antivirus / seguridad)</t>
        </is>
      </c>
      <c r="B46" s="22" t="inlineStr">
        <is>
          <t>Tarea</t>
        </is>
      </c>
      <c r="C46" s="23" t="inlineStr">
        <is>
          <t>AB (Ariel Bazan)</t>
        </is>
      </c>
      <c r="D46" s="23" t="inlineStr">
        <is>
          <t>Trimestral</t>
        </is>
      </c>
      <c r="E46" s="23" t="inlineStr">
        <is>
          <t>240</t>
        </is>
      </c>
      <c r="F46" s="24" t="inlineStr">
        <is>
          <t>Dia/momento: Ene/Abr/Jul/Oct. Reubicada desde 'Administracion General (AB)'. JL sugiere separar a futuro 'Seguridad' (Norton) de 'Redes/IP' dentro de Computacion. | Tiempo de origen (planilla Procesos Diarios) sin validar - no usar para calcular horas hasta confirmar con AB/RM</t>
        </is>
      </c>
    </row>
    <row r="47" outlineLevel="3" ht="20" customHeight="1">
      <c r="A47" s="25" t="inlineStr">
        <is>
          <t>› Impresoras IP</t>
        </is>
      </c>
      <c r="B47" s="26" t="inlineStr">
        <is>
          <t>Procedimiento</t>
        </is>
      </c>
      <c r="C47" s="27" t="inlineStr"/>
      <c r="D47" s="27" t="inlineStr"/>
      <c r="E47" s="27" t="inlineStr"/>
      <c r="F47" s="28" t="inlineStr"/>
    </row>
    <row r="48" outlineLevel="4" ht="20" customHeight="1">
      <c r="A48" s="29" t="inlineStr">
        <is>
          <t>• Pendiente de desglose</t>
        </is>
      </c>
      <c r="B48" s="22" t="inlineStr">
        <is>
          <t>Tarea</t>
        </is>
      </c>
      <c r="C48" s="23" t="inlineStr">
        <is>
          <t>AB (Ariel Bazan)</t>
        </is>
      </c>
      <c r="D48" s="23" t="inlineStr">
        <is>
          <t>A confirmar</t>
        </is>
      </c>
      <c r="E48" s="23" t="inlineStr">
        <is>
          <t>A confirmar</t>
        </is>
      </c>
      <c r="F48" s="24" t="inlineStr">
        <is>
          <t>Procedimiento confirmado por JL (12/08/2026); sin tareas cargadas todavia</t>
        </is>
      </c>
    </row>
    <row r="49" outlineLevel="2" ht="30" customHeight="1">
      <c r="A49" s="17" t="inlineStr">
        <is>
          <t>→ Viernes - Stock</t>
        </is>
      </c>
      <c r="B49" s="18" t="inlineStr">
        <is>
          <t>Proceso</t>
        </is>
      </c>
      <c r="C49" s="19" t="inlineStr"/>
      <c r="D49" s="19" t="inlineStr"/>
      <c r="E49" s="19" t="inlineStr"/>
      <c r="F49" s="20" t="inlineStr"/>
    </row>
    <row r="50" outlineLevel="3" ht="20" customHeight="1">
      <c r="A50" s="25" t="inlineStr">
        <is>
          <t>› Recepcion y Control de Stock Entrante</t>
        </is>
      </c>
      <c r="B50" s="26" t="inlineStr">
        <is>
          <t>Procedimiento</t>
        </is>
      </c>
      <c r="C50" s="27" t="inlineStr"/>
      <c r="D50" s="27" t="inlineStr"/>
      <c r="E50" s="27" t="inlineStr"/>
      <c r="F50" s="28" t="inlineStr"/>
    </row>
    <row r="51" outlineLevel="4" ht="20" customHeight="1">
      <c r="A51" s="29" t="inlineStr">
        <is>
          <t>• Conteo de stock recibido</t>
        </is>
      </c>
      <c r="B51" s="22" t="inlineStr">
        <is>
          <t>Tarea</t>
        </is>
      </c>
      <c r="C51" s="23" t="inlineStr">
        <is>
          <t>AB</t>
        </is>
      </c>
      <c r="D51" s="23" t="inlineStr">
        <is>
          <t>Semanal</t>
        </is>
      </c>
      <c r="E51" s="23" t="inlineStr">
        <is>
          <t>60</t>
        </is>
      </c>
      <c r="F51" s="24" t="inlineStr">
        <is>
          <t>Tiempo de origen (planilla Procesos Diarios) sin validar - no usar para calcular horas hasta confirmar con AB/RM</t>
        </is>
      </c>
    </row>
    <row r="52" outlineLevel="4" ht="20" customHeight="1">
      <c r="A52" s="29" t="inlineStr">
        <is>
          <t>• Control de stock recibido</t>
        </is>
      </c>
      <c r="B52" s="22" t="inlineStr">
        <is>
          <t>Tarea</t>
        </is>
      </c>
      <c r="C52" s="23" t="inlineStr">
        <is>
          <t>AB</t>
        </is>
      </c>
      <c r="D52" s="23" t="inlineStr">
        <is>
          <t>Semanal</t>
        </is>
      </c>
      <c r="E52" s="23" t="inlineStr">
        <is>
          <t>90</t>
        </is>
      </c>
      <c r="F52" s="24" t="inlineStr">
        <is>
          <t>Tiempo de origen (planilla Procesos Diarios) sin validar - no usar para calcular horas hasta confirmar con AB/RM</t>
        </is>
      </c>
    </row>
    <row r="53" outlineLevel="4" ht="20" customHeight="1">
      <c r="A53" s="29" t="inlineStr">
        <is>
          <t>• Sellado y etiquetado de stock recibido</t>
        </is>
      </c>
      <c r="B53" s="22" t="inlineStr">
        <is>
          <t>Tarea</t>
        </is>
      </c>
      <c r="C53" s="23" t="inlineStr">
        <is>
          <t>AB</t>
        </is>
      </c>
      <c r="D53" s="23" t="inlineStr">
        <is>
          <t>Semanal</t>
        </is>
      </c>
      <c r="E53" s="23" t="inlineStr">
        <is>
          <t>90</t>
        </is>
      </c>
      <c r="F53" s="24" t="inlineStr">
        <is>
          <t>Tiempo de origen (planilla Procesos Diarios) sin validar - no usar para calcular horas hasta confirmar con AB/RM</t>
        </is>
      </c>
    </row>
    <row r="54" outlineLevel="4" ht="20" customHeight="1">
      <c r="A54" s="29" t="inlineStr">
        <is>
          <t>• Almacenamiento de stock recibido</t>
        </is>
      </c>
      <c r="B54" s="22" t="inlineStr">
        <is>
          <t>Tarea</t>
        </is>
      </c>
      <c r="C54" s="23" t="inlineStr">
        <is>
          <t>AB</t>
        </is>
      </c>
      <c r="D54" s="23" t="inlineStr">
        <is>
          <t>Semanal</t>
        </is>
      </c>
      <c r="E54" s="23" t="inlineStr">
        <is>
          <t>90</t>
        </is>
      </c>
      <c r="F54" s="24" t="inlineStr">
        <is>
          <t>Tiempo de origen (planilla Procesos Diarios) sin validar - no usar para calcular horas hasta confirmar con AB/RM</t>
        </is>
      </c>
    </row>
    <row r="55" outlineLevel="3" ht="20" customHeight="1">
      <c r="A55" s="25" t="inlineStr">
        <is>
          <t>› Gestion de Insumos</t>
        </is>
      </c>
      <c r="B55" s="26" t="inlineStr">
        <is>
          <t>Procedimiento</t>
        </is>
      </c>
      <c r="C55" s="27" t="inlineStr"/>
      <c r="D55" s="27" t="inlineStr"/>
      <c r="E55" s="27" t="inlineStr"/>
      <c r="F55" s="28" t="inlineStr"/>
    </row>
    <row r="56" outlineLevel="4" ht="20" customHeight="1">
      <c r="A56" s="29" t="inlineStr">
        <is>
          <t>• Conteo de insumos (limpieza)</t>
        </is>
      </c>
      <c r="B56" s="22" t="inlineStr">
        <is>
          <t>Tarea</t>
        </is>
      </c>
      <c r="C56" s="23" t="inlineStr">
        <is>
          <t>AB</t>
        </is>
      </c>
      <c r="D56" s="23" t="inlineStr">
        <is>
          <t>Mensual</t>
        </is>
      </c>
      <c r="E56" s="23" t="inlineStr">
        <is>
          <t>10</t>
        </is>
      </c>
      <c r="F56" s="24" t="inlineStr">
        <is>
          <t>Dia/momento: Ultimo miercoles. | Tiempo de origen (planilla Procesos Diarios) sin validar - no usar para calcular horas hasta confirmar con AB/RM</t>
        </is>
      </c>
    </row>
    <row r="57" outlineLevel="4" ht="20" customHeight="1">
      <c r="A57" s="29" t="inlineStr">
        <is>
          <t>• Solicitud de insumos (limpieza)</t>
        </is>
      </c>
      <c r="B57" s="22" t="inlineStr">
        <is>
          <t>Tarea</t>
        </is>
      </c>
      <c r="C57" s="23" t="inlineStr">
        <is>
          <t>AB</t>
        </is>
      </c>
      <c r="D57" s="23" t="inlineStr">
        <is>
          <t>Mensual</t>
        </is>
      </c>
      <c r="E57" s="23" t="inlineStr">
        <is>
          <t>A confirmar</t>
        </is>
      </c>
      <c r="F57" s="24" t="inlineStr">
        <is>
          <t>Dia/momento: Ultimo miercoles. Nombre parcialmente ilegible en el PDF - confirmar</t>
        </is>
      </c>
    </row>
    <row r="58" outlineLevel="4" ht="20" customHeight="1">
      <c r="A58" s="29" t="inlineStr">
        <is>
          <t>• Conteo de insumos (cocina)</t>
        </is>
      </c>
      <c r="B58" s="22" t="inlineStr">
        <is>
          <t>Tarea</t>
        </is>
      </c>
      <c r="C58" s="23" t="inlineStr">
        <is>
          <t>AB</t>
        </is>
      </c>
      <c r="D58" s="23" t="inlineStr">
        <is>
          <t>Mensual</t>
        </is>
      </c>
      <c r="E58" s="23" t="inlineStr">
        <is>
          <t>10</t>
        </is>
      </c>
      <c r="F58" s="24" t="inlineStr">
        <is>
          <t>Dia/momento: Ultimo miercoles. | Tiempo de origen (planilla Procesos Diarios) sin validar - no usar para calcular horas hasta confirmar con AB/RM</t>
        </is>
      </c>
    </row>
    <row r="59" outlineLevel="4" ht="20" customHeight="1">
      <c r="A59" s="29" t="inlineStr">
        <is>
          <t>• Compra de insumos (cocina)</t>
        </is>
      </c>
      <c r="B59" s="22" t="inlineStr">
        <is>
          <t>Tarea</t>
        </is>
      </c>
      <c r="C59" s="23" t="inlineStr">
        <is>
          <t>AB</t>
        </is>
      </c>
      <c r="D59" s="23" t="inlineStr">
        <is>
          <t>Mensual</t>
        </is>
      </c>
      <c r="E59" s="23" t="inlineStr">
        <is>
          <t>A confirmar</t>
        </is>
      </c>
      <c r="F59" s="24" t="inlineStr">
        <is>
          <t>Dia/momento: Ultimo miercoles. Nombre parcialmente ilegible en el PDF - confirmar</t>
        </is>
      </c>
    </row>
    <row r="60" outlineLevel="4" ht="20" customHeight="1">
      <c r="A60" s="29" t="inlineStr">
        <is>
          <t>• Conteo de insumos (libreria)</t>
        </is>
      </c>
      <c r="B60" s="22" t="inlineStr">
        <is>
          <t>Tarea</t>
        </is>
      </c>
      <c r="C60" s="23" t="inlineStr">
        <is>
          <t>AB</t>
        </is>
      </c>
      <c r="D60" s="23" t="inlineStr">
        <is>
          <t>Mensual</t>
        </is>
      </c>
      <c r="E60" s="23" t="inlineStr">
        <is>
          <t>10</t>
        </is>
      </c>
      <c r="F60" s="24" t="inlineStr">
        <is>
          <t>Dia/momento: Ultimo miercoles. | Tiempo de origen (planilla Procesos Diarios) sin validar - no usar para calcular horas hasta confirmar con AB/RM</t>
        </is>
      </c>
    </row>
    <row r="61" outlineLevel="4" ht="20" customHeight="1">
      <c r="A61" s="29" t="inlineStr">
        <is>
          <t>• Solicitud de insumos (libreria)</t>
        </is>
      </c>
      <c r="B61" s="22" t="inlineStr">
        <is>
          <t>Tarea</t>
        </is>
      </c>
      <c r="C61" s="23" t="inlineStr">
        <is>
          <t>AB</t>
        </is>
      </c>
      <c r="D61" s="23" t="inlineStr">
        <is>
          <t>Mensual</t>
        </is>
      </c>
      <c r="E61" s="23" t="inlineStr">
        <is>
          <t>20</t>
        </is>
      </c>
      <c r="F61" s="24" t="inlineStr">
        <is>
          <t>Dia/momento: Ultimo miercoles. | Tiempo de origen (planilla Procesos Diarios) sin validar - no usar para calcular horas hasta confirmar con AB/RM</t>
        </is>
      </c>
    </row>
    <row r="62" outlineLevel="4" ht="20" customHeight="1">
      <c r="A62" s="29" t="inlineStr">
        <is>
          <t>• Conteo de insumos (botiquin)</t>
        </is>
      </c>
      <c r="B62" s="22" t="inlineStr">
        <is>
          <t>Tarea</t>
        </is>
      </c>
      <c r="C62" s="23" t="inlineStr">
        <is>
          <t>AB</t>
        </is>
      </c>
      <c r="D62" s="23" t="inlineStr">
        <is>
          <t>Mensual</t>
        </is>
      </c>
      <c r="E62" s="23" t="inlineStr">
        <is>
          <t>10</t>
        </is>
      </c>
      <c r="F62" s="24" t="inlineStr">
        <is>
          <t>Dia/momento: Ultimo miercoles. | Tiempo de origen (planilla Procesos Diarios) sin validar - no usar para calcular horas hasta confirmar con AB/RM</t>
        </is>
      </c>
    </row>
    <row r="63" outlineLevel="4" ht="20" customHeight="1">
      <c r="A63" s="29" t="inlineStr">
        <is>
          <t>• Solicitud de insumos (botiquin)</t>
        </is>
      </c>
      <c r="B63" s="22" t="inlineStr">
        <is>
          <t>Tarea</t>
        </is>
      </c>
      <c r="C63" s="23" t="inlineStr">
        <is>
          <t>AB</t>
        </is>
      </c>
      <c r="D63" s="23" t="inlineStr">
        <is>
          <t>Mensual</t>
        </is>
      </c>
      <c r="E63" s="23" t="inlineStr">
        <is>
          <t>20</t>
        </is>
      </c>
      <c r="F63" s="24" t="inlineStr">
        <is>
          <t>Dia/momento: Ultimo miercoles. | Tiempo de origen (planilla Procesos Diarios) sin validar - no usar para calcular horas hasta confirmar con AB/RM</t>
        </is>
      </c>
    </row>
    <row r="64" outlineLevel="4" ht="20" customHeight="1">
      <c r="A64" s="29" t="inlineStr">
        <is>
          <t>• Cargar facturas de insumos</t>
        </is>
      </c>
      <c r="B64" s="22" t="inlineStr">
        <is>
          <t>Tarea</t>
        </is>
      </c>
      <c r="C64" s="23" t="inlineStr">
        <is>
          <t>AB</t>
        </is>
      </c>
      <c r="D64" s="23" t="inlineStr">
        <is>
          <t>Semanal</t>
        </is>
      </c>
      <c r="E64" s="23" t="inlineStr">
        <is>
          <t>30</t>
        </is>
      </c>
      <c r="F64" s="24" t="inlineStr">
        <is>
          <t>Dia/momento: Jueves. | Tiempo de origen (planilla Procesos Diarios) sin validar - no usar para calcular horas hasta confirmar con AB/RM</t>
        </is>
      </c>
    </row>
    <row r="65" outlineLevel="3" ht="20" customHeight="1">
      <c r="A65" s="25" t="inlineStr">
        <is>
          <t>› Impresion de Documentacion</t>
        </is>
      </c>
      <c r="B65" s="26" t="inlineStr">
        <is>
          <t>Procedimiento</t>
        </is>
      </c>
      <c r="C65" s="27" t="inlineStr"/>
      <c r="D65" s="27" t="inlineStr"/>
      <c r="E65" s="27" t="inlineStr"/>
      <c r="F65" s="28" t="inlineStr"/>
    </row>
    <row r="66" outlineLevel="4" ht="20" customHeight="1">
      <c r="A66" s="29" t="inlineStr">
        <is>
          <t>• Impresion de Remito (egreso de equipos)</t>
        </is>
      </c>
      <c r="B66" s="22" t="inlineStr">
        <is>
          <t>Tarea</t>
        </is>
      </c>
      <c r="C66" s="23" t="inlineStr">
        <is>
          <t>AB</t>
        </is>
      </c>
      <c r="D66" s="23" t="inlineStr">
        <is>
          <t>Mensual (ideal: bimestral/trimestral)</t>
        </is>
      </c>
      <c r="E66" s="23" t="inlineStr">
        <is>
          <t>60</t>
        </is>
      </c>
      <c r="F66" s="24" t="inlineStr">
        <is>
          <t>Dia/momento: Ultimo miercoles. JL: hoy marcada mensual pero la idea es que sea bimensual/trimestral, imprimiendo de mas para no repetir seguido. Antes en 'Administracion General (AB)' como 'Control e impresion de R.E.E.'. | Tiempo de origen (planilla Procesos Diarios) sin validar - no usar para calcular horas hasta confirmar con AB/RM</t>
        </is>
      </c>
    </row>
    <row r="67" outlineLevel="4" ht="20" customHeight="1">
      <c r="A67" s="30" t="inlineStr">
        <is>
          <t>• Impresion de Entrega de Instalacion</t>
        </is>
      </c>
      <c r="B67" s="31" t="inlineStr">
        <is>
          <t>Tarea</t>
        </is>
      </c>
      <c r="C67" s="32" t="inlineStr">
        <is>
          <t>AB</t>
        </is>
      </c>
      <c r="D67" s="32" t="inlineStr">
        <is>
          <t>A confirmar</t>
        </is>
      </c>
      <c r="E67" s="32" t="inlineStr">
        <is>
          <t>A confirmar</t>
        </is>
      </c>
      <c r="F67" s="33" t="inlineStr">
        <is>
          <t>Probablemente compartida con RM (ver Impresion de O.D.S. en la lista de RM)</t>
        </is>
      </c>
    </row>
    <row r="68" outlineLevel="4" ht="20" customHeight="1">
      <c r="A68" s="30" t="inlineStr">
        <is>
          <t>• Impresion de Directivas Tecnicas</t>
        </is>
      </c>
      <c r="B68" s="31" t="inlineStr">
        <is>
          <t>Tarea</t>
        </is>
      </c>
      <c r="C68" s="32" t="inlineStr">
        <is>
          <t>AB</t>
        </is>
      </c>
      <c r="D68" s="32" t="inlineStr">
        <is>
          <t>A confirmar</t>
        </is>
      </c>
      <c r="E68" s="32" t="inlineStr">
        <is>
          <t>A confirmar</t>
        </is>
      </c>
      <c r="F68" s="33" t="inlineStr">
        <is>
          <t>Probablemente relacionada con 'Carga de Directivas tecnicas' de RM</t>
        </is>
      </c>
    </row>
    <row r="69" outlineLevel="4" ht="20" customHeight="1">
      <c r="A69" s="30" t="inlineStr">
        <is>
          <t>• Impresion de Relevamientos</t>
        </is>
      </c>
      <c r="B69" s="31" t="inlineStr">
        <is>
          <t>Tarea</t>
        </is>
      </c>
      <c r="C69" s="32" t="inlineStr">
        <is>
          <t>AB</t>
        </is>
      </c>
      <c r="D69" s="32" t="inlineStr">
        <is>
          <t>A confirmar</t>
        </is>
      </c>
      <c r="E69" s="32" t="inlineStr">
        <is>
          <t>A confirmar</t>
        </is>
      </c>
      <c r="F69" s="33" t="inlineStr"/>
    </row>
    <row r="70" outlineLevel="4" ht="20" customHeight="1">
      <c r="A70" s="30" t="inlineStr">
        <is>
          <t>• Impresion de Guias de Usuario</t>
        </is>
      </c>
      <c r="B70" s="31" t="inlineStr">
        <is>
          <t>Tarea</t>
        </is>
      </c>
      <c r="C70" s="32" t="inlineStr">
        <is>
          <t>AB</t>
        </is>
      </c>
      <c r="D70" s="32" t="inlineStr">
        <is>
          <t>A confirmar</t>
        </is>
      </c>
      <c r="E70" s="32" t="inlineStr">
        <is>
          <t>A confirmar</t>
        </is>
      </c>
      <c r="F70" s="33" t="inlineStr"/>
    </row>
    <row r="71" outlineLevel="4" ht="20" customHeight="1">
      <c r="A71" s="29" t="inlineStr">
        <is>
          <t>• Impresion de Ordenes de Servicio</t>
        </is>
      </c>
      <c r="B71" s="22" t="inlineStr">
        <is>
          <t>Tarea</t>
        </is>
      </c>
      <c r="C71" s="23" t="inlineStr">
        <is>
          <t>RM</t>
        </is>
      </c>
      <c r="D71" s="23" t="inlineStr">
        <is>
          <t>Mensual</t>
        </is>
      </c>
      <c r="E71" s="23" t="inlineStr">
        <is>
          <t>45</t>
        </is>
      </c>
      <c r="F71" s="24" t="inlineStr">
        <is>
          <t>Dia/momento: Primer jueves. Ya existia como 'Control/Imprimir O.D.S.' en la lista de RM - se agrupa aca dentro de Stock &gt; Impresion de Documentacion. | Tiempo de origen (planilla Procesos Diarios) sin validar - no usar para calcular horas hasta confirmar con AB/RM</t>
        </is>
      </c>
    </row>
    <row r="72" outlineLevel="3" ht="20" customHeight="1">
      <c r="A72" s="25" t="inlineStr">
        <is>
          <t>› Control de Flota / Vehiculos</t>
        </is>
      </c>
      <c r="B72" s="26" t="inlineStr">
        <is>
          <t>Procedimiento</t>
        </is>
      </c>
      <c r="C72" s="27" t="inlineStr"/>
      <c r="D72" s="27" t="inlineStr"/>
      <c r="E72" s="27" t="inlineStr"/>
      <c r="F72" s="28" t="inlineStr"/>
    </row>
    <row r="73" outlineLevel="4" ht="20" customHeight="1">
      <c r="A73" s="29" t="inlineStr">
        <is>
          <t>• Control ITV vehiculo OYS427</t>
        </is>
      </c>
      <c r="B73" s="22" t="inlineStr">
        <is>
          <t>Tarea</t>
        </is>
      </c>
      <c r="C73" s="23" t="inlineStr">
        <is>
          <t>AB</t>
        </is>
      </c>
      <c r="D73" s="23" t="inlineStr">
        <is>
          <t>Semestral</t>
        </is>
      </c>
      <c r="E73" s="23" t="inlineStr">
        <is>
          <t>120</t>
        </is>
      </c>
      <c r="F73" s="24" t="inlineStr">
        <is>
          <t>Dia/momento: Nov/May. | Tiempo de origen (planilla Procesos Diarios) sin validar - no usar para calcular horas hasta confirmar con AB/RM</t>
        </is>
      </c>
    </row>
    <row r="74" outlineLevel="4" ht="20" customHeight="1">
      <c r="A74" s="29" t="inlineStr">
        <is>
          <t>• Control impuestos vehiculo OYS427</t>
        </is>
      </c>
      <c r="B74" s="22" t="inlineStr">
        <is>
          <t>Tarea</t>
        </is>
      </c>
      <c r="C74" s="23" t="inlineStr">
        <is>
          <t>AB</t>
        </is>
      </c>
      <c r="D74" s="23" t="inlineStr">
        <is>
          <t>Semestral</t>
        </is>
      </c>
      <c r="E74" s="23" t="inlineStr">
        <is>
          <t>120</t>
        </is>
      </c>
      <c r="F74" s="24" t="inlineStr">
        <is>
          <t>Dia/momento: Nov/May. | Tiempo de origen (planilla Procesos Diarios) sin validar - no usar para calcular horas hasta confirmar con AB/RM</t>
        </is>
      </c>
    </row>
    <row r="75" outlineLevel="4" ht="20" customHeight="1">
      <c r="A75" s="29" t="inlineStr">
        <is>
          <t>• Control ITV vehiculo AE533YE</t>
        </is>
      </c>
      <c r="B75" s="22" t="inlineStr">
        <is>
          <t>Tarea</t>
        </is>
      </c>
      <c r="C75" s="23" t="inlineStr">
        <is>
          <t>AB</t>
        </is>
      </c>
      <c r="D75" s="23" t="inlineStr">
        <is>
          <t>Semestral</t>
        </is>
      </c>
      <c r="E75" s="23" t="inlineStr">
        <is>
          <t>120</t>
        </is>
      </c>
      <c r="F75" s="24" t="inlineStr">
        <is>
          <t>Dia/momento: Nov/May. | Tiempo de origen (planilla Procesos Diarios) sin validar - no usar para calcular horas hasta confirmar con AB/RM</t>
        </is>
      </c>
    </row>
    <row r="76" outlineLevel="4" ht="20" customHeight="1">
      <c r="A76" s="29" t="inlineStr">
        <is>
          <t>• Control impuestos vehiculo AE533YE</t>
        </is>
      </c>
      <c r="B76" s="22" t="inlineStr">
        <is>
          <t>Tarea</t>
        </is>
      </c>
      <c r="C76" s="23" t="inlineStr">
        <is>
          <t>AB</t>
        </is>
      </c>
      <c r="D76" s="23" t="inlineStr">
        <is>
          <t>Semestral</t>
        </is>
      </c>
      <c r="E76" s="23" t="inlineStr">
        <is>
          <t>120</t>
        </is>
      </c>
      <c r="F76" s="24" t="inlineStr">
        <is>
          <t>Dia/momento: Nov/May. | Tiempo de origen (planilla Procesos Diarios) sin validar - no usar para calcular horas hasta confirmar con AB/RM</t>
        </is>
      </c>
    </row>
    <row r="77" outlineLevel="4" ht="20" customHeight="1">
      <c r="A77" s="30" t="inlineStr">
        <is>
          <t>• Control de deudas (por vehiculo)</t>
        </is>
      </c>
      <c r="B77" s="31" t="inlineStr">
        <is>
          <t>Tarea</t>
        </is>
      </c>
      <c r="C77" s="32" t="inlineStr">
        <is>
          <t>AB</t>
        </is>
      </c>
      <c r="D77" s="32" t="inlineStr">
        <is>
          <t>A confirmar</t>
        </is>
      </c>
      <c r="E77" s="32" t="inlineStr">
        <is>
          <t>A confirmar</t>
        </is>
      </c>
      <c r="F77" s="33" t="inlineStr">
        <is>
          <t>Falta definir para cuales vehiculos y con que frecuencia</t>
        </is>
      </c>
    </row>
    <row r="78" outlineLevel="4" ht="20" customHeight="1">
      <c r="A78" s="30" t="inlineStr">
        <is>
          <t>• Control de multas (por vehiculo)</t>
        </is>
      </c>
      <c r="B78" s="31" t="inlineStr">
        <is>
          <t>Tarea</t>
        </is>
      </c>
      <c r="C78" s="32" t="inlineStr">
        <is>
          <t>AB</t>
        </is>
      </c>
      <c r="D78" s="32" t="inlineStr">
        <is>
          <t>A confirmar</t>
        </is>
      </c>
      <c r="E78" s="32" t="inlineStr">
        <is>
          <t>A confirmar</t>
        </is>
      </c>
      <c r="F78" s="33" t="inlineStr">
        <is>
          <t>Falta definir para cuales vehiculos y con que frecuencia</t>
        </is>
      </c>
    </row>
    <row r="79" outlineLevel="4" ht="20" customHeight="1">
      <c r="A79" s="30" t="inlineStr">
        <is>
          <t>• GAP: 2 vehiculos sin control asignado</t>
        </is>
      </c>
      <c r="B79" s="31" t="inlineStr">
        <is>
          <t>Tarea</t>
        </is>
      </c>
      <c r="C79" s="32" t="inlineStr">
        <is>
          <t>Sin asignar</t>
        </is>
      </c>
      <c r="D79" s="32" t="inlineStr">
        <is>
          <t>N/A</t>
        </is>
      </c>
      <c r="E79" s="32" t="inlineStr">
        <is>
          <t>N/A</t>
        </is>
      </c>
      <c r="F79" s="33" t="inlineStr">
        <is>
          <t>JL (18/08/2026): 'las que tenemos que ver realmente son seis'</t>
        </is>
      </c>
    </row>
    <row r="80" outlineLevel="3" ht="20" customHeight="1">
      <c r="A80" s="25" t="inlineStr">
        <is>
          <t>› Puesta en Valor de Equipos (nombre tentativo)</t>
        </is>
      </c>
      <c r="B80" s="26" t="inlineStr">
        <is>
          <t>Procedimiento</t>
        </is>
      </c>
      <c r="C80" s="27" t="inlineStr"/>
      <c r="D80" s="27" t="inlineStr"/>
      <c r="E80" s="27" t="inlineStr"/>
      <c r="F80" s="28" t="inlineStr"/>
    </row>
    <row r="81" outlineLevel="4" ht="20" customHeight="1">
      <c r="A81" s="29" t="inlineStr">
        <is>
          <t>• Recuperacion de equipos CP4000</t>
        </is>
      </c>
      <c r="B81" s="22" t="inlineStr">
        <is>
          <t>Tarea</t>
        </is>
      </c>
      <c r="C81" s="23" t="inlineStr">
        <is>
          <t>AB</t>
        </is>
      </c>
      <c r="D81" s="23" t="inlineStr">
        <is>
          <t>A confirmar</t>
        </is>
      </c>
      <c r="E81" s="23" t="inlineStr">
        <is>
          <t>A confirmar</t>
        </is>
      </c>
      <c r="F81" s="24" t="inlineStr">
        <is>
          <t>JL (18/08/2026): no sabia bien donde etiquetarla, la puso como nuevo procedimiento tentativo dentro de Stock</t>
        </is>
      </c>
    </row>
    <row r="82" outlineLevel="4" ht="20" customHeight="1">
      <c r="A82" s="29" t="inlineStr">
        <is>
          <t>• Recuperacion de equipos AXpro</t>
        </is>
      </c>
      <c r="B82" s="22" t="inlineStr">
        <is>
          <t>Tarea</t>
        </is>
      </c>
      <c r="C82" s="23" t="inlineStr">
        <is>
          <t>AB</t>
        </is>
      </c>
      <c r="D82" s="23" t="inlineStr">
        <is>
          <t>A confirmar</t>
        </is>
      </c>
      <c r="E82" s="23" t="inlineStr">
        <is>
          <t>A confirmar</t>
        </is>
      </c>
      <c r="F82" s="24" t="inlineStr">
        <is>
          <t>JL (18/08/2026): idem anterior</t>
        </is>
      </c>
    </row>
    <row r="83" outlineLevel="3" ht="20" customHeight="1">
      <c r="A83" s="25" t="inlineStr">
        <is>
          <t>› Control de Stock - Sede NCS</t>
        </is>
      </c>
      <c r="B83" s="26" t="inlineStr">
        <is>
          <t>Procedimiento</t>
        </is>
      </c>
      <c r="C83" s="27" t="inlineStr"/>
      <c r="D83" s="27" t="inlineStr"/>
      <c r="E83" s="27" t="inlineStr"/>
      <c r="F83" s="28" t="inlineStr"/>
    </row>
    <row r="84" outlineLevel="4" ht="20" customHeight="1">
      <c r="A84" s="29" t="inlineStr">
        <is>
          <t>• Reposicion de Stock NCS</t>
        </is>
      </c>
      <c r="B84" s="22" t="inlineStr">
        <is>
          <t>Tarea</t>
        </is>
      </c>
      <c r="C84" s="23" t="inlineStr">
        <is>
          <t>AB</t>
        </is>
      </c>
      <c r="D84" s="23" t="inlineStr">
        <is>
          <t>Semanal</t>
        </is>
      </c>
      <c r="E84" s="23" t="inlineStr">
        <is>
          <t>60</t>
        </is>
      </c>
      <c r="F84" s="24" t="inlineStr">
        <is>
          <t>Dia/momento: Jueves. Dia real relevado es jueves, no viernes - confirmar. | Tiempo de origen (planilla Procesos Diarios) sin validar - no usar para calcular horas hasta confirmar con AB/RM</t>
        </is>
      </c>
    </row>
    <row r="85" outlineLevel="4" ht="20" customHeight="1">
      <c r="A85" s="29" t="inlineStr">
        <is>
          <t>• Control de Stock NCS (sistema XBIS)</t>
        </is>
      </c>
      <c r="B85" s="22" t="inlineStr">
        <is>
          <t>Tarea</t>
        </is>
      </c>
      <c r="C85" s="23" t="inlineStr">
        <is>
          <t>AB</t>
        </is>
      </c>
      <c r="D85" s="23" t="inlineStr">
        <is>
          <t>Semanal</t>
        </is>
      </c>
      <c r="E85" s="23" t="inlineStr">
        <is>
          <t>A confirmar</t>
        </is>
      </c>
      <c r="F85" s="24" t="inlineStr">
        <is>
          <t>Dia/momento: Miercoles. Antes era 1 sola tarea 'Control stock NCS y conteo (Ezviz/Easy)'; JL aclaro que son 2 sistemas distintos (XBIS y EZLink) - se separa en 2 tareas, falta tiempo de cada una</t>
        </is>
      </c>
    </row>
    <row r="86" outlineLevel="4" ht="20" customHeight="1">
      <c r="A86" s="29" t="inlineStr">
        <is>
          <t>• Control de Stock NCS (sistema EZLink)</t>
        </is>
      </c>
      <c r="B86" s="22" t="inlineStr">
        <is>
          <t>Tarea</t>
        </is>
      </c>
      <c r="C86" s="23" t="inlineStr">
        <is>
          <t>AB</t>
        </is>
      </c>
      <c r="D86" s="23" t="inlineStr">
        <is>
          <t>Semanal</t>
        </is>
      </c>
      <c r="E86" s="23" t="inlineStr">
        <is>
          <t>A confirmar</t>
        </is>
      </c>
      <c r="F86" s="24" t="inlineStr">
        <is>
          <t>Dia/momento: Miercoles. Ver nota en la fila de XBIS</t>
        </is>
      </c>
    </row>
    <row r="87" outlineLevel="3" ht="20" customHeight="1">
      <c r="A87" s="25" t="inlineStr">
        <is>
          <t>› Control de Receptoras</t>
        </is>
      </c>
      <c r="B87" s="26" t="inlineStr">
        <is>
          <t>Procedimiento</t>
        </is>
      </c>
      <c r="C87" s="27" t="inlineStr"/>
      <c r="D87" s="27" t="inlineStr"/>
      <c r="E87" s="27" t="inlineStr"/>
      <c r="F87" s="28" t="inlineStr"/>
    </row>
    <row r="88" outlineLevel="4" ht="20" customHeight="1">
      <c r="A88" s="29" t="inlineStr">
        <is>
          <t>• Control de buen estado receptoras IPR512 (R-04)</t>
        </is>
      </c>
      <c r="B88" s="22" t="inlineStr">
        <is>
          <t>Tarea</t>
        </is>
      </c>
      <c r="C88" s="23" t="inlineStr">
        <is>
          <t>AB</t>
        </is>
      </c>
      <c r="D88" s="23" t="inlineStr">
        <is>
          <t>Diario</t>
        </is>
      </c>
      <c r="E88" s="23" t="inlineStr">
        <is>
          <t>10</t>
        </is>
      </c>
      <c r="F88" s="24" t="inlineStr">
        <is>
          <t>Tiempo de origen (planilla Procesos Diarios) sin validar - no usar para calcular horas hasta confirmar con AB/RM</t>
        </is>
      </c>
    </row>
    <row r="89" outlineLevel="4" ht="20" customHeight="1">
      <c r="A89" s="29" t="inlineStr">
        <is>
          <t>• Mandar mensajes a AVATEC 01</t>
        </is>
      </c>
      <c r="B89" s="22" t="inlineStr">
        <is>
          <t>Tarea</t>
        </is>
      </c>
      <c r="C89" s="23" t="inlineStr">
        <is>
          <t>AB</t>
        </is>
      </c>
      <c r="D89" s="23" t="inlineStr">
        <is>
          <t>Diario</t>
        </is>
      </c>
      <c r="E89" s="23" t="inlineStr">
        <is>
          <t>10</t>
        </is>
      </c>
      <c r="F89" s="24" t="inlineStr">
        <is>
          <t>Reubicada desde 'Administracion General (AB)'. | Tiempo de origen (planilla Procesos Diarios) sin validar - no usar para calcular horas hasta confirmar con AB/RM</t>
        </is>
      </c>
    </row>
    <row r="90" outlineLevel="4" ht="20" customHeight="1">
      <c r="A90" s="30" t="inlineStr">
        <is>
          <t>• GAP: protocolo cuando una receptora no funciona</t>
        </is>
      </c>
      <c r="B90" s="31" t="inlineStr">
        <is>
          <t>Tarea</t>
        </is>
      </c>
      <c r="C90" s="32" t="inlineStr">
        <is>
          <t>Sin asignar</t>
        </is>
      </c>
      <c r="D90" s="32" t="inlineStr">
        <is>
          <t>N/A</t>
        </is>
      </c>
      <c r="E90" s="32" t="inlineStr">
        <is>
          <t>N/A</t>
        </is>
      </c>
      <c r="F90" s="33" t="inlineStr">
        <is>
          <t>JL (18/08/2026): 'habria que hacer un proceso de saber que hacer cuando no funcionan correctamente'</t>
        </is>
      </c>
    </row>
    <row r="91" outlineLevel="3" ht="20" customHeight="1">
      <c r="A91" s="25" t="inlineStr">
        <is>
          <t>› Control de Carteleria</t>
        </is>
      </c>
      <c r="B91" s="26" t="inlineStr">
        <is>
          <t>Procedimiento</t>
        </is>
      </c>
      <c r="C91" s="27" t="inlineStr"/>
      <c r="D91" s="27" t="inlineStr"/>
      <c r="E91" s="27" t="inlineStr"/>
      <c r="F91" s="28" t="inlineStr"/>
    </row>
    <row r="92" outlineLevel="4" ht="20" customHeight="1">
      <c r="A92" s="29" t="inlineStr">
        <is>
          <t>• Control de carteleria</t>
        </is>
      </c>
      <c r="B92" s="22" t="inlineStr">
        <is>
          <t>Tarea</t>
        </is>
      </c>
      <c r="C92" s="23" t="inlineStr">
        <is>
          <t>AB</t>
        </is>
      </c>
      <c r="D92" s="23" t="inlineStr">
        <is>
          <t>Mensual</t>
        </is>
      </c>
      <c r="E92" s="23" t="inlineStr">
        <is>
          <t>5</t>
        </is>
      </c>
      <c r="F92" s="24" t="inlineStr">
        <is>
          <t>Dia/momento: Primer dia. Reubicada desde 'Administracion General (AB)'; ubicacion dentro de Stock es tentativa, JL no la asigno explicitamente. | Tiempo de origen (planilla Procesos Diarios) sin validar - no usar para calcular horas hasta confirmar con AB/RM</t>
        </is>
      </c>
    </row>
    <row r="93" outlineLevel="1" ht="30" customHeight="1">
      <c r="A93" s="13" t="inlineStr">
        <is>
          <t>▸ RM - Ruben Moreyra</t>
        </is>
      </c>
      <c r="B93" s="14" t="inlineStr">
        <is>
          <t>Rama</t>
        </is>
      </c>
      <c r="C93" s="15" t="inlineStr"/>
      <c r="D93" s="15" t="inlineStr"/>
      <c r="E93" s="15" t="inlineStr"/>
      <c r="F93" s="16" t="inlineStr"/>
    </row>
    <row r="94" outlineLevel="2" ht="30" customHeight="1">
      <c r="A94" s="17" t="inlineStr">
        <is>
          <t>→ Lunes - TOP10</t>
        </is>
      </c>
      <c r="B94" s="18" t="inlineStr">
        <is>
          <t>Proceso</t>
        </is>
      </c>
      <c r="C94" s="19" t="inlineStr"/>
      <c r="D94" s="19" t="inlineStr"/>
      <c r="E94" s="19" t="inlineStr"/>
      <c r="F94" s="20" t="inlineStr"/>
    </row>
    <row r="95" outlineLevel="3" ht="20" customHeight="1">
      <c r="A95" s="25" t="inlineStr">
        <is>
          <t>› Elaboracion y envio del informe semanal TOP10</t>
        </is>
      </c>
      <c r="B95" s="26" t="inlineStr">
        <is>
          <t>Procedimiento</t>
        </is>
      </c>
      <c r="C95" s="27" t="inlineStr"/>
      <c r="D95" s="27" t="inlineStr"/>
      <c r="E95" s="27" t="inlineStr"/>
      <c r="F95" s="28" t="inlineStr"/>
    </row>
    <row r="96" outlineLevel="4" ht="20" customHeight="1">
      <c r="A96" s="29" t="inlineStr">
        <is>
          <t>• Ingresar a monitoreo.com y generar el Resumen Semanal de Eventos</t>
        </is>
      </c>
      <c r="B96" s="22" t="inlineStr">
        <is>
          <t>Tarea</t>
        </is>
      </c>
      <c r="C96" s="23" t="inlineStr">
        <is>
          <t>RM (Ruben Moreyra)</t>
        </is>
      </c>
      <c r="D96" s="23" t="inlineStr">
        <is>
          <t>Semanal</t>
        </is>
      </c>
      <c r="E96" s="23" t="inlineStr">
        <is>
          <t>A confirmar</t>
        </is>
      </c>
      <c r="F96" s="24" t="inlineStr">
        <is>
          <t>Pasos 1-2 del instructivo Proceso-TOP10-06UB-AUE260420</t>
        </is>
      </c>
    </row>
    <row r="97" outlineLevel="4" ht="20" customHeight="1">
      <c r="A97" s="29" t="inlineStr">
        <is>
          <t>• Filtrar por Total Operados y extraer el TOP10 de clientes</t>
        </is>
      </c>
      <c r="B97" s="22" t="inlineStr">
        <is>
          <t>Tarea</t>
        </is>
      </c>
      <c r="C97" s="23" t="inlineStr">
        <is>
          <t>RM (Ruben Moreyra)</t>
        </is>
      </c>
      <c r="D97" s="23" t="inlineStr">
        <is>
          <t>Semanal</t>
        </is>
      </c>
      <c r="E97" s="23" t="inlineStr">
        <is>
          <t>A confirmar</t>
        </is>
      </c>
      <c r="F97" s="24" t="inlineStr">
        <is>
          <t>Paso 3</t>
        </is>
      </c>
    </row>
    <row r="98" outlineLevel="4" ht="20" customHeight="1">
      <c r="A98" s="29" t="inlineStr">
        <is>
          <t>• Actualizar planilla Evento Semana por Semana (nueva hoja+formato)</t>
        </is>
      </c>
      <c r="B98" s="22" t="inlineStr">
        <is>
          <t>Tarea</t>
        </is>
      </c>
      <c r="C98" s="23" t="inlineStr">
        <is>
          <t>RM (Ruben Moreyra)</t>
        </is>
      </c>
      <c r="D98" s="23" t="inlineStr">
        <is>
          <t>Semanal</t>
        </is>
      </c>
      <c r="E98" s="23" t="inlineStr">
        <is>
          <t>A confirmar</t>
        </is>
      </c>
      <c r="F98" s="24" t="inlineStr">
        <is>
          <t>Pasos 4-5</t>
        </is>
      </c>
    </row>
    <row r="99" outlineLevel="4" ht="20" customHeight="1">
      <c r="A99" s="29" t="inlineStr">
        <is>
          <t>• Completar fila de la semana en Eventos por Semana (indicadores)</t>
        </is>
      </c>
      <c r="B99" s="22" t="inlineStr">
        <is>
          <t>Tarea</t>
        </is>
      </c>
      <c r="C99" s="23" t="inlineStr">
        <is>
          <t>RM (Ruben Moreyra)</t>
        </is>
      </c>
      <c r="D99" s="23" t="inlineStr">
        <is>
          <t>Semanal</t>
        </is>
      </c>
      <c r="E99" s="23" t="inlineStr">
        <is>
          <t>A confirmar</t>
        </is>
      </c>
      <c r="F99" s="24" t="inlineStr">
        <is>
          <t>Paso 6</t>
        </is>
      </c>
    </row>
    <row r="100" outlineLevel="4" ht="20" customHeight="1">
      <c r="A100" s="29" t="inlineStr">
        <is>
          <t>• Completar hoja Analisis TOP10</t>
        </is>
      </c>
      <c r="B100" s="22" t="inlineStr">
        <is>
          <t>Tarea</t>
        </is>
      </c>
      <c r="C100" s="23" t="inlineStr">
        <is>
          <t>RM (Ruben Moreyra)</t>
        </is>
      </c>
      <c r="D100" s="23" t="inlineStr">
        <is>
          <t>Semanal</t>
        </is>
      </c>
      <c r="E100" s="23" t="inlineStr">
        <is>
          <t>A confirmar</t>
        </is>
      </c>
      <c r="F100" s="24" t="inlineStr">
        <is>
          <t>Paso 7</t>
        </is>
      </c>
    </row>
    <row r="101" outlineLevel="4" ht="20" customHeight="1">
      <c r="A101" s="29" t="inlineStr">
        <is>
          <t>• Redactar correo del informe TOP10 con cuadros y enlaces</t>
        </is>
      </c>
      <c r="B101" s="22" t="inlineStr">
        <is>
          <t>Tarea</t>
        </is>
      </c>
      <c r="C101" s="23" t="inlineStr">
        <is>
          <t>RM (Ruben Moreyra)</t>
        </is>
      </c>
      <c r="D101" s="23" t="inlineStr">
        <is>
          <t>Semanal</t>
        </is>
      </c>
      <c r="E101" s="23" t="inlineStr">
        <is>
          <t>A confirmar</t>
        </is>
      </c>
      <c r="F101" s="24" t="inlineStr">
        <is>
          <t>Pasos 8-10</t>
        </is>
      </c>
    </row>
    <row r="102" outlineLevel="4" ht="20" customHeight="1">
      <c r="A102" s="29" t="inlineStr">
        <is>
          <t>• Enviar correo del informe TOP10 a DIR/TEC/AYL</t>
        </is>
      </c>
      <c r="B102" s="22" t="inlineStr">
        <is>
          <t>Tarea</t>
        </is>
      </c>
      <c r="C102" s="23" t="inlineStr">
        <is>
          <t>RM (Ruben Moreyra)</t>
        </is>
      </c>
      <c r="D102" s="23" t="inlineStr">
        <is>
          <t>Semanal</t>
        </is>
      </c>
      <c r="E102" s="23" t="inlineStr">
        <is>
          <t>A confirmar</t>
        </is>
      </c>
      <c r="F102" s="24" t="inlineStr">
        <is>
          <t>Paso 11 - fin fase 1</t>
        </is>
      </c>
    </row>
    <row r="103" outlineLevel="4" ht="20" customHeight="1">
      <c r="A103" s="29" t="inlineStr">
        <is>
          <t>• Indagar y documentar la gestion realizada con cada cliente del TOP10</t>
        </is>
      </c>
      <c r="B103" s="22" t="inlineStr">
        <is>
          <t>Tarea</t>
        </is>
      </c>
      <c r="C103" s="23" t="inlineStr">
        <is>
          <t>RM (Ruben Moreyra)</t>
        </is>
      </c>
      <c r="D103" s="23" t="inlineStr">
        <is>
          <t>Semanal</t>
        </is>
      </c>
      <c r="E103" s="23" t="inlineStr">
        <is>
          <t>A confirmar</t>
        </is>
      </c>
      <c r="F103" s="24" t="inlineStr">
        <is>
          <t>Paso 12 - Observaciones, requiere contactar a cada cliente/tecnico</t>
        </is>
      </c>
    </row>
    <row r="104" outlineLevel="4" ht="20" customHeight="1">
      <c r="A104" s="29" t="inlineStr">
        <is>
          <t>• Actualizar seguimiento del TOP10 de la semana anterior (Control Semana por Semana)</t>
        </is>
      </c>
      <c r="B104" s="22" t="inlineStr">
        <is>
          <t>Tarea</t>
        </is>
      </c>
      <c r="C104" s="23" t="inlineStr">
        <is>
          <t>RM (Ruben Moreyra)</t>
        </is>
      </c>
      <c r="D104" s="23" t="inlineStr">
        <is>
          <t>Semanal</t>
        </is>
      </c>
      <c r="E104" s="23" t="inlineStr">
        <is>
          <t>A confirmar</t>
        </is>
      </c>
      <c r="F104" s="24" t="inlineStr">
        <is>
          <t>Paso 13</t>
        </is>
      </c>
    </row>
    <row r="105" outlineLevel="4" ht="20" customHeight="1">
      <c r="A105" s="29" t="inlineStr">
        <is>
          <t>• Enviar respuesta final del informe con observaciones</t>
        </is>
      </c>
      <c r="B105" s="22" t="inlineStr">
        <is>
          <t>Tarea</t>
        </is>
      </c>
      <c r="C105" s="23" t="inlineStr">
        <is>
          <t>RM (Ruben Moreyra)</t>
        </is>
      </c>
      <c r="D105" s="23" t="inlineStr">
        <is>
          <t>Semanal</t>
        </is>
      </c>
      <c r="E105" s="23" t="inlineStr">
        <is>
          <t>A confirmar</t>
        </is>
      </c>
      <c r="F105" s="24" t="inlineStr">
        <is>
          <t>Pasos 14 y 16</t>
        </is>
      </c>
    </row>
    <row r="106" outlineLevel="4" ht="20" customHeight="1">
      <c r="A106" s="29" t="inlineStr">
        <is>
          <t>• Actualizar Base de Datos de clientes (previo al informe)</t>
        </is>
      </c>
      <c r="B106" s="22" t="inlineStr">
        <is>
          <t>Tarea</t>
        </is>
      </c>
      <c r="C106" s="23" t="inlineStr">
        <is>
          <t>RM</t>
        </is>
      </c>
      <c r="D106" s="23" t="inlineStr">
        <is>
          <t>Semanal</t>
        </is>
      </c>
      <c r="E106" s="23" t="inlineStr">
        <is>
          <t>A confirmar</t>
        </is>
      </c>
      <c r="F106" s="24" t="inlineStr">
        <is>
          <t>Dia/momento: Lunes. Tiempo no relevado en el PDF - confirmar</t>
        </is>
      </c>
    </row>
    <row r="107" outlineLevel="2" ht="30" customHeight="1">
      <c r="A107" s="17" t="inlineStr">
        <is>
          <t>→ Viernes - Revision de Eventos Diarios / Red</t>
        </is>
      </c>
      <c r="B107" s="18" t="inlineStr">
        <is>
          <t>Proceso</t>
        </is>
      </c>
      <c r="C107" s="19" t="inlineStr"/>
      <c r="D107" s="19" t="inlineStr"/>
      <c r="E107" s="19" t="inlineStr"/>
      <c r="F107" s="20" t="inlineStr"/>
    </row>
    <row r="108" outlineLevel="3" ht="20" customHeight="1">
      <c r="A108" s="25" t="inlineStr">
        <is>
          <t>› Pendiente de desglose</t>
        </is>
      </c>
      <c r="B108" s="26" t="inlineStr">
        <is>
          <t>Procedimiento</t>
        </is>
      </c>
      <c r="C108" s="27" t="inlineStr"/>
      <c r="D108" s="27" t="inlineStr"/>
      <c r="E108" s="27" t="inlineStr"/>
      <c r="F108" s="28" t="inlineStr"/>
    </row>
    <row r="109" outlineLevel="4" ht="20" customHeight="1">
      <c r="A109" s="29" t="inlineStr">
        <is>
          <t>• Pendiente de desglose (a detallar con RM)</t>
        </is>
      </c>
      <c r="B109" s="22" t="inlineStr">
        <is>
          <t>Tarea</t>
        </is>
      </c>
      <c r="C109" s="23" t="inlineStr">
        <is>
          <t>RM (Ruben Moreyra)</t>
        </is>
      </c>
      <c r="D109" s="23" t="inlineStr">
        <is>
          <t>Semanal (viernes)</t>
        </is>
      </c>
      <c r="E109" s="23" t="inlineStr">
        <is>
          <t>A confirmar</t>
        </is>
      </c>
      <c r="F109" s="24" t="inlineStr">
        <is>
          <t>Dia asignado: viernes, comparte el dia con Revision de eventos diarios (ver fila siguiente) - son dos procesos distintos en un solo dia</t>
        </is>
      </c>
    </row>
    <row r="110" outlineLevel="4" ht="20" customHeight="1">
      <c r="A110" s="29" t="inlineStr">
        <is>
          <t>• Pendiente de desglose (a detallar con RM)</t>
        </is>
      </c>
      <c r="B110" s="22" t="inlineStr">
        <is>
          <t>Tarea</t>
        </is>
      </c>
      <c r="C110" s="23" t="inlineStr">
        <is>
          <t>RM (Ruben Moreyra)</t>
        </is>
      </c>
      <c r="D110" s="23" t="inlineStr">
        <is>
          <t>Diaria</t>
        </is>
      </c>
      <c r="E110" s="23" t="inlineStr">
        <is>
          <t>A confirmar</t>
        </is>
      </c>
      <c r="F110" s="24" t="inlineStr">
        <is>
          <t>Se ejecuta todos los dias pero se prioriza/cierra los viernes junto con Red - revisar si es realmente semanal o diaria</t>
        </is>
      </c>
    </row>
    <row r="111" outlineLevel="2" ht="30" customHeight="1">
      <c r="A111" s="17" t="inlineStr">
        <is>
          <t>→ Rutina Administrativa Diaria (RM)</t>
        </is>
      </c>
      <c r="B111" s="18" t="inlineStr">
        <is>
          <t>Proceso</t>
        </is>
      </c>
      <c r="C111" s="19" t="inlineStr"/>
      <c r="D111" s="19" t="inlineStr"/>
      <c r="E111" s="19" t="inlineStr"/>
      <c r="F111" s="20" t="inlineStr"/>
    </row>
    <row r="112" outlineLevel="3" ht="20" customHeight="1">
      <c r="A112" s="21" t="inlineStr">
        <is>
          <t>• Aviso y coordinacion con ST</t>
        </is>
      </c>
      <c r="B112" s="22" t="inlineStr">
        <is>
          <t>Tarea</t>
        </is>
      </c>
      <c r="C112" s="23" t="inlineStr">
        <is>
          <t>RM</t>
        </is>
      </c>
      <c r="D112" s="23" t="inlineStr">
        <is>
          <t>Diario</t>
        </is>
      </c>
      <c r="E112" s="23" t="inlineStr">
        <is>
          <t>45</t>
        </is>
      </c>
      <c r="F112" s="24" t="inlineStr">
        <is>
          <t>Dia/momento: Primer dia. | Tiempo de origen (planilla Procesos Diarios) sin validar - no usar para calcular horas hasta confirmar con AB/RM</t>
        </is>
      </c>
    </row>
    <row r="113" outlineLevel="3" ht="20" customHeight="1">
      <c r="A113" s="21" t="inlineStr">
        <is>
          <t>• Subir informe de tareas diarias</t>
        </is>
      </c>
      <c r="B113" s="22" t="inlineStr">
        <is>
          <t>Tarea</t>
        </is>
      </c>
      <c r="C113" s="23" t="inlineStr">
        <is>
          <t>RM</t>
        </is>
      </c>
      <c r="D113" s="23" t="inlineStr">
        <is>
          <t>Diario</t>
        </is>
      </c>
      <c r="E113" s="23" t="inlineStr">
        <is>
          <t>5</t>
        </is>
      </c>
      <c r="F113" s="24" t="inlineStr">
        <is>
          <t>Dia/momento: Primer dia. | Tiempo de origen (planilla Procesos Diarios) sin validar - no usar para calcular horas hasta confirmar con AB/RM</t>
        </is>
      </c>
    </row>
    <row r="114" outlineLevel="3" ht="20" customHeight="1">
      <c r="A114" s="21" t="inlineStr">
        <is>
          <t>• Chequeo de ST realizados en el dia</t>
        </is>
      </c>
      <c r="B114" s="22" t="inlineStr">
        <is>
          <t>Tarea</t>
        </is>
      </c>
      <c r="C114" s="23" t="inlineStr">
        <is>
          <t>RM</t>
        </is>
      </c>
      <c r="D114" s="23" t="inlineStr">
        <is>
          <t>Diario</t>
        </is>
      </c>
      <c r="E114" s="23" t="inlineStr">
        <is>
          <t>15</t>
        </is>
      </c>
      <c r="F114" s="24" t="inlineStr">
        <is>
          <t>Dia/momento: Primer dia. | Tiempo de origen (planilla Procesos Diarios) sin validar - no usar para calcular horas hasta confirmar con AB/RM</t>
        </is>
      </c>
    </row>
    <row r="115" outlineLevel="3" ht="20" customHeight="1">
      <c r="A115" s="21" t="inlineStr">
        <is>
          <t>• Contestar mensajes de clientes/mail (primera hora)</t>
        </is>
      </c>
      <c r="B115" s="22" t="inlineStr">
        <is>
          <t>Tarea</t>
        </is>
      </c>
      <c r="C115" s="23" t="inlineStr">
        <is>
          <t>RM</t>
        </is>
      </c>
      <c r="D115" s="23" t="inlineStr">
        <is>
          <t>Diario</t>
        </is>
      </c>
      <c r="E115" s="23" t="inlineStr">
        <is>
          <t>60</t>
        </is>
      </c>
      <c r="F115" s="24" t="inlineStr">
        <is>
          <t>Dia/momento: Primer dia. | Tiempo de origen (planilla Procesos Diarios) sin validar - no usar para calcular horas hasta confirmar con AB/RM</t>
        </is>
      </c>
    </row>
    <row r="116" outlineLevel="3" ht="20" customHeight="1">
      <c r="A116" s="21" t="inlineStr">
        <is>
          <t>• Revisar planilla de Procesos (primera hora)</t>
        </is>
      </c>
      <c r="B116" s="22" t="inlineStr">
        <is>
          <t>Tarea</t>
        </is>
      </c>
      <c r="C116" s="23" t="inlineStr">
        <is>
          <t>RM</t>
        </is>
      </c>
      <c r="D116" s="23" t="inlineStr">
        <is>
          <t>Diario</t>
        </is>
      </c>
      <c r="E116" s="23" t="inlineStr">
        <is>
          <t>1</t>
        </is>
      </c>
      <c r="F116" s="24" t="inlineStr">
        <is>
          <t>Dia/momento: Primer dia. | Tiempo de origen (planilla Procesos Diarios) sin validar - no usar para calcular horas hasta confirmar con AB/RM</t>
        </is>
      </c>
    </row>
    <row r="117" outlineLevel="3" ht="20" customHeight="1">
      <c r="A117" s="21" t="inlineStr">
        <is>
          <t>• Revisar planilla de Procesos (ultima hora)</t>
        </is>
      </c>
      <c r="B117" s="22" t="inlineStr">
        <is>
          <t>Tarea</t>
        </is>
      </c>
      <c r="C117" s="23" t="inlineStr">
        <is>
          <t>RM</t>
        </is>
      </c>
      <c r="D117" s="23" t="inlineStr">
        <is>
          <t>Diario</t>
        </is>
      </c>
      <c r="E117" s="23" t="inlineStr">
        <is>
          <t>1</t>
        </is>
      </c>
      <c r="F117" s="24" t="inlineStr">
        <is>
          <t>Dia/momento: Primer dia. | Tiempo de origen (planilla Procesos Diarios) sin validar - no usar para calcular horas hasta confirmar con AB/RM</t>
        </is>
      </c>
    </row>
    <row r="118" outlineLevel="2" ht="30" customHeight="1">
      <c r="A118" s="17" t="inlineStr">
        <is>
          <t>→ Coordinacion de Guardia</t>
        </is>
      </c>
      <c r="B118" s="18" t="inlineStr">
        <is>
          <t>Proceso</t>
        </is>
      </c>
      <c r="C118" s="19" t="inlineStr"/>
      <c r="D118" s="19" t="inlineStr"/>
      <c r="E118" s="19" t="inlineStr"/>
      <c r="F118" s="20" t="inlineStr"/>
    </row>
    <row r="119" outlineLevel="3" ht="20" customHeight="1">
      <c r="A119" s="25" t="inlineStr">
        <is>
          <t>› Coordinacion de Guardia</t>
        </is>
      </c>
      <c r="B119" s="26" t="inlineStr">
        <is>
          <t>Procedimiento</t>
        </is>
      </c>
      <c r="C119" s="27" t="inlineStr"/>
      <c r="D119" s="27" t="inlineStr"/>
      <c r="E119" s="27" t="inlineStr"/>
      <c r="F119" s="28" t="inlineStr"/>
    </row>
    <row r="120" outlineLevel="4" ht="20" customHeight="1">
      <c r="A120" s="29" t="inlineStr">
        <is>
          <t>• Recepcion de N de Ticket</t>
        </is>
      </c>
      <c r="B120" s="22" t="inlineStr">
        <is>
          <t>Tarea</t>
        </is>
      </c>
      <c r="C120" s="23" t="inlineStr">
        <is>
          <t>RM</t>
        </is>
      </c>
      <c r="D120" s="23" t="inlineStr">
        <is>
          <t>Mensual</t>
        </is>
      </c>
      <c r="E120" s="23" t="inlineStr">
        <is>
          <t>15</t>
        </is>
      </c>
      <c r="F120" s="24" t="inlineStr">
        <is>
          <t>Tiempo de origen (planilla Procesos Diarios) sin validar - no usar para calcular horas hasta confirmar con AB/RM</t>
        </is>
      </c>
    </row>
    <row r="121" outlineLevel="4" ht="20" customHeight="1">
      <c r="A121" s="29" t="inlineStr">
        <is>
          <t>• Compartir N de Ticket en WhatsApp y Telegram</t>
        </is>
      </c>
      <c r="B121" s="22" t="inlineStr">
        <is>
          <t>Tarea</t>
        </is>
      </c>
      <c r="C121" s="23" t="inlineStr">
        <is>
          <t>RM</t>
        </is>
      </c>
      <c r="D121" s="23" t="inlineStr">
        <is>
          <t>Mensual</t>
        </is>
      </c>
      <c r="E121" s="23" t="inlineStr">
        <is>
          <t>5</t>
        </is>
      </c>
      <c r="F121" s="24" t="inlineStr">
        <is>
          <t>Tiempo de origen (planilla Procesos Diarios) sin validar - no usar para calcular horas hasta confirmar con AB/RM</t>
        </is>
      </c>
    </row>
    <row r="122" outlineLevel="4" ht="20" customHeight="1">
      <c r="A122" s="29" t="inlineStr">
        <is>
          <t>• Coordinacion de guardia CM</t>
        </is>
      </c>
      <c r="B122" s="22" t="inlineStr">
        <is>
          <t>Tarea</t>
        </is>
      </c>
      <c r="C122" s="23" t="inlineStr">
        <is>
          <t>RM</t>
        </is>
      </c>
      <c r="D122" s="23" t="inlineStr">
        <is>
          <t>Semanal</t>
        </is>
      </c>
      <c r="E122" s="23" t="inlineStr">
        <is>
          <t>15</t>
        </is>
      </c>
      <c r="F122" s="24" t="inlineStr">
        <is>
          <t>Dia/momento: Miercoles. | Tiempo de origen (planilla Procesos Diarios) sin validar - no usar para calcular horas hasta confirmar con AB/RM</t>
        </is>
      </c>
    </row>
    <row r="123" outlineLevel="4" ht="20" customHeight="1">
      <c r="A123" s="29" t="inlineStr">
        <is>
          <t>• Agregar tecnico a guardia CM</t>
        </is>
      </c>
      <c r="B123" s="22" t="inlineStr">
        <is>
          <t>Tarea</t>
        </is>
      </c>
      <c r="C123" s="23" t="inlineStr">
        <is>
          <t>RM</t>
        </is>
      </c>
      <c r="D123" s="23" t="inlineStr">
        <is>
          <t>Semanal</t>
        </is>
      </c>
      <c r="E123" s="23" t="inlineStr">
        <is>
          <t>A confirmar</t>
        </is>
      </c>
      <c r="F123" s="24" t="inlineStr">
        <is>
          <t>Dia/momento: Viernes. Tiempo ilegible en el PDF - confirmar</t>
        </is>
      </c>
    </row>
    <row r="124" outlineLevel="4" ht="20" customHeight="1">
      <c r="A124" s="29" t="inlineStr">
        <is>
          <t>• Sacar tecnico de guardia CM</t>
        </is>
      </c>
      <c r="B124" s="22" t="inlineStr">
        <is>
          <t>Tarea</t>
        </is>
      </c>
      <c r="C124" s="23" t="inlineStr">
        <is>
          <t>RM</t>
        </is>
      </c>
      <c r="D124" s="23" t="inlineStr">
        <is>
          <t>Semanal</t>
        </is>
      </c>
      <c r="E124" s="23" t="inlineStr">
        <is>
          <t>A confirmar</t>
        </is>
      </c>
      <c r="F124" s="24" t="inlineStr">
        <is>
          <t>Dia/momento: Viernes. Tiempo ilegible en el PDF - confirmar</t>
        </is>
      </c>
    </row>
    <row r="125" outlineLevel="2" ht="30" customHeight="1">
      <c r="A125" s="17" t="inlineStr">
        <is>
          <t>→ Martes - ODS (Ordenes de Servicio)</t>
        </is>
      </c>
      <c r="B125" s="18" t="inlineStr">
        <is>
          <t>Proceso</t>
        </is>
      </c>
      <c r="C125" s="19" t="inlineStr"/>
      <c r="D125" s="19" t="inlineStr"/>
      <c r="E125" s="19" t="inlineStr"/>
      <c r="F125" s="20" t="inlineStr"/>
    </row>
    <row r="126" outlineLevel="3" ht="20" customHeight="1">
      <c r="A126" s="25" t="inlineStr">
        <is>
          <t>› OS</t>
        </is>
      </c>
      <c r="B126" s="26" t="inlineStr">
        <is>
          <t>Procedimiento</t>
        </is>
      </c>
      <c r="C126" s="27" t="inlineStr"/>
      <c r="D126" s="27" t="inlineStr"/>
      <c r="E126" s="27" t="inlineStr"/>
      <c r="F126" s="28" t="inlineStr"/>
    </row>
    <row r="127" outlineLevel="4" ht="20" customHeight="1">
      <c r="A127" s="29" t="inlineStr">
        <is>
          <t>• Control e impresion de O.D.S.</t>
        </is>
      </c>
      <c r="B127" s="22" t="inlineStr">
        <is>
          <t>Tarea</t>
        </is>
      </c>
      <c r="C127" s="23" t="inlineStr">
        <is>
          <t>RM</t>
        </is>
      </c>
      <c r="D127" s="23" t="inlineStr">
        <is>
          <t>Mensual</t>
        </is>
      </c>
      <c r="E127" s="23" t="inlineStr">
        <is>
          <t>45</t>
        </is>
      </c>
      <c r="F127" s="24" t="inlineStr">
        <is>
          <t>Dia/momento: Primer jueves. | Tiempo de origen (planilla Procesos Diarios) sin validar - no usar para calcular horas hasta confirmar con AB/RM</t>
        </is>
      </c>
    </row>
    <row r="128" outlineLevel="4" ht="20" customHeight="1">
      <c r="A128" s="29" t="inlineStr">
        <is>
          <t>• Control e impresion de etiquetas de baterias</t>
        </is>
      </c>
      <c r="B128" s="22" t="inlineStr">
        <is>
          <t>Tarea</t>
        </is>
      </c>
      <c r="C128" s="23" t="inlineStr">
        <is>
          <t>RM</t>
        </is>
      </c>
      <c r="D128" s="23" t="inlineStr">
        <is>
          <t>Mensual</t>
        </is>
      </c>
      <c r="E128" s="23" t="inlineStr">
        <is>
          <t>45</t>
        </is>
      </c>
      <c r="F128" s="24" t="inlineStr">
        <is>
          <t>Dia/momento: Tercer jueves. | Tiempo de origen (planilla Procesos Diarios) sin validar - no usar para calcular horas hasta confirmar con AB/RM</t>
        </is>
      </c>
    </row>
    <row r="129" outlineLevel="4" ht="20" customHeight="1">
      <c r="A129" s="29" t="inlineStr">
        <is>
          <t>• Carga de N de ODS a Telegram</t>
        </is>
      </c>
      <c r="B129" s="22" t="inlineStr">
        <is>
          <t>Tarea</t>
        </is>
      </c>
      <c r="C129" s="23" t="inlineStr">
        <is>
          <t>RM</t>
        </is>
      </c>
      <c r="D129" s="23" t="inlineStr">
        <is>
          <t>Semanal</t>
        </is>
      </c>
      <c r="E129" s="23" t="inlineStr">
        <is>
          <t>15</t>
        </is>
      </c>
      <c r="F129" s="24" t="inlineStr">
        <is>
          <t>Dia/momento: Lunes. | Tiempo de origen (planilla Procesos Diarios) sin validar - no usar para calcular horas hasta confirmar con AB/RM</t>
        </is>
      </c>
    </row>
    <row r="130" outlineLevel="4" ht="20" customHeight="1">
      <c r="A130" s="29" t="inlineStr">
        <is>
          <t>• Carga de ODS a CM</t>
        </is>
      </c>
      <c r="B130" s="22" t="inlineStr">
        <is>
          <t>Tarea</t>
        </is>
      </c>
      <c r="C130" s="23" t="inlineStr">
        <is>
          <t>RM</t>
        </is>
      </c>
      <c r="D130" s="23" t="inlineStr">
        <is>
          <t>Semanal</t>
        </is>
      </c>
      <c r="E130" s="23" t="inlineStr">
        <is>
          <t>360</t>
        </is>
      </c>
      <c r="F130" s="24" t="inlineStr">
        <is>
          <t>Dia/momento: Lunes y Martes. | Tiempo de origen (planilla Procesos Diarios) sin validar - no usar para calcular horas hasta confirmar con AB/RM</t>
        </is>
      </c>
    </row>
    <row r="131" outlineLevel="4" ht="20" customHeight="1">
      <c r="A131" s="29" t="inlineStr">
        <is>
          <t>• Entrega de ODS a Administracion</t>
        </is>
      </c>
      <c r="B131" s="22" t="inlineStr">
        <is>
          <t>Tarea</t>
        </is>
      </c>
      <c r="C131" s="23" t="inlineStr">
        <is>
          <t>RM</t>
        </is>
      </c>
      <c r="D131" s="23" t="inlineStr">
        <is>
          <t>Semanal</t>
        </is>
      </c>
      <c r="E131" s="23" t="inlineStr">
        <is>
          <t>10</t>
        </is>
      </c>
      <c r="F131" s="24" t="inlineStr">
        <is>
          <t>Dia/momento: Lunes. | Tiempo de origen (planilla Procesos Diarios) sin validar - no usar para calcular horas hasta confirmar con AB/RM</t>
        </is>
      </c>
    </row>
    <row r="132" outlineLevel="4" ht="20" customHeight="1">
      <c r="A132" s="29" t="inlineStr">
        <is>
          <t>• Control de ODS cargadas y descuentos</t>
        </is>
      </c>
      <c r="B132" s="22" t="inlineStr">
        <is>
          <t>Tarea</t>
        </is>
      </c>
      <c r="C132" s="23" t="inlineStr">
        <is>
          <t>RM</t>
        </is>
      </c>
      <c r="D132" s="23" t="inlineStr">
        <is>
          <t>Semanal</t>
        </is>
      </c>
      <c r="E132" s="23" t="inlineStr">
        <is>
          <t>30</t>
        </is>
      </c>
      <c r="F132" s="24" t="inlineStr">
        <is>
          <t>Dia/momento: Lunes y Martes. | Tiempo de origen (planilla Procesos Diarios) sin validar - no usar para calcular horas hasta confirmar con AB/RM</t>
        </is>
      </c>
    </row>
    <row r="133" outlineLevel="2" ht="30" customHeight="1">
      <c r="A133" s="17" t="inlineStr">
        <is>
          <t>→ Jueves - Configuracion AXPRO (RM)</t>
        </is>
      </c>
      <c r="B133" s="18" t="inlineStr">
        <is>
          <t>Proceso</t>
        </is>
      </c>
      <c r="C133" s="19" t="inlineStr"/>
      <c r="D133" s="19" t="inlineStr"/>
      <c r="E133" s="19" t="inlineStr"/>
      <c r="F133" s="20" t="inlineStr"/>
    </row>
    <row r="134" outlineLevel="3" ht="20" customHeight="1">
      <c r="A134" s="21" t="inlineStr">
        <is>
          <t>• Cargar factura Personal Jasper</t>
        </is>
      </c>
      <c r="B134" s="22" t="inlineStr">
        <is>
          <t>Tarea</t>
        </is>
      </c>
      <c r="C134" s="23" t="inlineStr">
        <is>
          <t>RM</t>
        </is>
      </c>
      <c r="D134" s="23" t="inlineStr">
        <is>
          <t>Mensual</t>
        </is>
      </c>
      <c r="E134" s="23" t="inlineStr">
        <is>
          <t>15</t>
        </is>
      </c>
      <c r="F134" s="24" t="inlineStr">
        <is>
          <t>Dia/momento: Dia 13. | Tiempo de origen (planilla Procesos Diarios) sin validar - no usar para calcular horas hasta confirmar con AB/RM | JL confirmo (18/08/2026): es el mismo proceso Chips que el de AB (bloqueo/desbloqueo AXpro/Paradox, jueves) - dos procedimientos de un mismo proceso. Fusion pendiente de hacer en detalle mas adelante. | Renombrado el 18/08/2026: JL confirmo que el jueves de RM se llama 'Configuracion AXPRO', pero estas tareas de facturacion/altas-bajas de chips no calzan obviamente con ese nombre - PENDIENTE confirmar si son lo mismo o si Configuracion AXPRO es otra cosa aparte.</t>
        </is>
      </c>
    </row>
    <row r="135" outlineLevel="3" ht="20" customHeight="1">
      <c r="A135" s="21" t="inlineStr">
        <is>
          <t>• Cargar factura Movistar Smart</t>
        </is>
      </c>
      <c r="B135" s="22" t="inlineStr">
        <is>
          <t>Tarea</t>
        </is>
      </c>
      <c r="C135" s="23" t="inlineStr">
        <is>
          <t>RM</t>
        </is>
      </c>
      <c r="D135" s="23" t="inlineStr">
        <is>
          <t>Mensual</t>
        </is>
      </c>
      <c r="E135" s="23" t="inlineStr">
        <is>
          <t>15</t>
        </is>
      </c>
      <c r="F135" s="24" t="inlineStr">
        <is>
          <t>Dia/momento: Dia 13. | Tiempo de origen (planilla Procesos Diarios) sin validar - no usar para calcular horas hasta confirmar con AB/RM | JL confirmo (18/08/2026): es el mismo proceso Chips que el de AB (bloqueo/desbloqueo AXpro/Paradox, jueves) - dos procedimientos de un mismo proceso. Fusion pendiente de hacer en detalle mas adelante. | Renombrado el 18/08/2026: JL confirmo que el jueves de RM se llama 'Configuracion AXPRO', pero estas tareas de facturacion/altas-bajas de chips no calzan obviamente con ese nombre - PENDIENTE confirmar si son lo mismo o si Configuracion AXPRO es otra cosa aparte.</t>
        </is>
      </c>
    </row>
    <row r="136" outlineLevel="3" ht="20" customHeight="1">
      <c r="A136" s="21" t="inlineStr">
        <is>
          <t>• Cargar factura Claro Empleados</t>
        </is>
      </c>
      <c r="B136" s="22" t="inlineStr">
        <is>
          <t>Tarea</t>
        </is>
      </c>
      <c r="C136" s="23" t="inlineStr">
        <is>
          <t>RM</t>
        </is>
      </c>
      <c r="D136" s="23" t="inlineStr">
        <is>
          <t>Mensual</t>
        </is>
      </c>
      <c r="E136" s="23" t="inlineStr">
        <is>
          <t>15</t>
        </is>
      </c>
      <c r="F136" s="24" t="inlineStr">
        <is>
          <t>Dia/momento: Dia 13. | Tiempo de origen (planilla Procesos Diarios) sin validar - no usar para calcular horas hasta confirmar con AB/RM | JL confirmo (18/08/2026): es el mismo proceso Chips que el de AB (bloqueo/desbloqueo AXpro/Paradox, jueves) - dos procedimientos de un mismo proceso. Fusion pendiente de hacer en detalle mas adelante. | Renombrado el 18/08/2026: JL confirmo que el jueves de RM se llama 'Configuracion AXPRO', pero estas tareas de facturacion/altas-bajas de chips no calzan obviamente con ese nombre - PENDIENTE confirmar si son lo mismo o si Configuracion AXPRO es otra cosa aparte.</t>
        </is>
      </c>
    </row>
    <row r="137" outlineLevel="3" ht="20" customHeight="1">
      <c r="A137" s="21" t="inlineStr">
        <is>
          <t>• Cargar factura Claro M2M</t>
        </is>
      </c>
      <c r="B137" s="22" t="inlineStr">
        <is>
          <t>Tarea</t>
        </is>
      </c>
      <c r="C137" s="23" t="inlineStr">
        <is>
          <t>RM</t>
        </is>
      </c>
      <c r="D137" s="23" t="inlineStr">
        <is>
          <t>Mensual</t>
        </is>
      </c>
      <c r="E137" s="23" t="inlineStr">
        <is>
          <t>15</t>
        </is>
      </c>
      <c r="F137" s="24" t="inlineStr">
        <is>
          <t>Dia/momento: Dia 13. | Tiempo de origen (planilla Procesos Diarios) sin validar - no usar para calcular horas hasta confirmar con AB/RM | JL confirmo (18/08/2026): es el mismo proceso Chips que el de AB (bloqueo/desbloqueo AXpro/Paradox, jueves) - dos procedimientos de un mismo proceso. Fusion pendiente de hacer en detalle mas adelante. | Renombrado el 18/08/2026: JL confirmo que el jueves de RM se llama 'Configuracion AXPRO', pero estas tareas de facturacion/altas-bajas de chips no calzan obviamente con ese nombre - PENDIENTE confirmar si son lo mismo o si Configuracion AXPRO es otra cosa aparte.</t>
        </is>
      </c>
    </row>
    <row r="138" outlineLevel="3" ht="20" customHeight="1">
      <c r="A138" s="21" t="inlineStr">
        <is>
          <t>• Cargar factura Personal M2M</t>
        </is>
      </c>
      <c r="B138" s="22" t="inlineStr">
        <is>
          <t>Tarea</t>
        </is>
      </c>
      <c r="C138" s="23" t="inlineStr">
        <is>
          <t>RM</t>
        </is>
      </c>
      <c r="D138" s="23" t="inlineStr">
        <is>
          <t>Mensual</t>
        </is>
      </c>
      <c r="E138" s="23" t="inlineStr">
        <is>
          <t>15</t>
        </is>
      </c>
      <c r="F138" s="24" t="inlineStr">
        <is>
          <t>Dia/momento: Dia 17. | Tiempo de origen (planilla Procesos Diarios) sin validar - no usar para calcular horas hasta confirmar con AB/RM | JL confirmo (18/08/2026): es el mismo proceso Chips que el de AB (bloqueo/desbloqueo AXpro/Paradox, jueves) - dos procedimientos de un mismo proceso. Fusion pendiente de hacer en detalle mas adelante. | Renombrado el 18/08/2026: JL confirmo que el jueves de RM se llama 'Configuracion AXPRO', pero estas tareas de facturacion/altas-bajas de chips no calzan obviamente con ese nombre - PENDIENTE confirmar si son lo mismo o si Configuracion AXPRO es otra cosa aparte.</t>
        </is>
      </c>
    </row>
    <row r="139" outlineLevel="3" ht="20" customHeight="1">
      <c r="A139" s="21" t="inlineStr">
        <is>
          <t>• Cargar factura Claro Jasper</t>
        </is>
      </c>
      <c r="B139" s="22" t="inlineStr">
        <is>
          <t>Tarea</t>
        </is>
      </c>
      <c r="C139" s="23" t="inlineStr">
        <is>
          <t>RM</t>
        </is>
      </c>
      <c r="D139" s="23" t="inlineStr">
        <is>
          <t>Mensual</t>
        </is>
      </c>
      <c r="E139" s="23" t="inlineStr">
        <is>
          <t>15</t>
        </is>
      </c>
      <c r="F139" s="24" t="inlineStr">
        <is>
          <t>Dia/momento: Dia 17. | Tiempo de origen (planilla Procesos Diarios) sin validar - no usar para calcular horas hasta confirmar con AB/RM | JL confirmo (18/08/2026): es el mismo proceso Chips que el de AB (bloqueo/desbloqueo AXpro/Paradox, jueves) - dos procedimientos de un mismo proceso. Fusion pendiente de hacer en detalle mas adelante. | Renombrado el 18/08/2026: JL confirmo que el jueves de RM se llama 'Configuracion AXPRO', pero estas tareas de facturacion/altas-bajas de chips no calzan obviamente con ese nombre - PENDIENTE confirmar si son lo mismo o si Configuracion AXPRO es otra cosa aparte.</t>
        </is>
      </c>
    </row>
    <row r="140" outlineLevel="3" ht="20" customHeight="1">
      <c r="A140" s="21" t="inlineStr">
        <is>
          <t>• Analisis de factura de chips</t>
        </is>
      </c>
      <c r="B140" s="22" t="inlineStr">
        <is>
          <t>Tarea</t>
        </is>
      </c>
      <c r="C140" s="23" t="inlineStr">
        <is>
          <t>RM</t>
        </is>
      </c>
      <c r="D140" s="23" t="inlineStr">
        <is>
          <t>Mensual</t>
        </is>
      </c>
      <c r="E140" s="23" t="inlineStr">
        <is>
          <t>45</t>
        </is>
      </c>
      <c r="F140" s="24" t="inlineStr">
        <is>
          <t>Dia/momento: Dia 17. | Tiempo de origen (planilla Procesos Diarios) sin validar - no usar para calcular horas hasta confirmar con AB/RM | JL confirmo (18/08/2026): es el mismo proceso Chips que el de AB (bloqueo/desbloqueo AXpro/Paradox, jueves) - dos procedimientos de un mismo proceso. Fusion pendiente de hacer en detalle mas adelante. | Renombrado el 18/08/2026: JL confirmo que el jueves de RM se llama 'Configuracion AXPRO', pero estas tareas de facturacion/altas-bajas de chips no calzan obviamente con ese nombre - PENDIENTE confirmar si son lo mismo o si Configuracion AXPRO es otra cosa aparte.</t>
        </is>
      </c>
    </row>
    <row r="141" outlineLevel="3" ht="20" customHeight="1">
      <c r="A141" s="21" t="inlineStr">
        <is>
          <t>• Publicar resumen de gastos de chips</t>
        </is>
      </c>
      <c r="B141" s="22" t="inlineStr">
        <is>
          <t>Tarea</t>
        </is>
      </c>
      <c r="C141" s="23" t="inlineStr">
        <is>
          <t>RM</t>
        </is>
      </c>
      <c r="D141" s="23" t="inlineStr">
        <is>
          <t>Mensual</t>
        </is>
      </c>
      <c r="E141" s="23" t="inlineStr">
        <is>
          <t>15</t>
        </is>
      </c>
      <c r="F141" s="24" t="inlineStr">
        <is>
          <t>Dia/momento: Dia 17. | Tiempo de origen (planilla Procesos Diarios) sin validar - no usar para calcular horas hasta confirmar con AB/RM | JL confirmo (18/08/2026): es el mismo proceso Chips que el de AB (bloqueo/desbloqueo AXpro/Paradox, jueves) - dos procedimientos de un mismo proceso. Fusion pendiente de hacer en detalle mas adelante. | Renombrado el 18/08/2026: JL confirmo que el jueves de RM se llama 'Configuracion AXPRO', pero estas tareas de facturacion/altas-bajas de chips no calzan obviamente con ese nombre - PENDIENTE confirmar si son lo mismo o si Configuracion AXPRO es otra cosa aparte.</t>
        </is>
      </c>
    </row>
    <row r="142" outlineLevel="3" ht="20" customHeight="1">
      <c r="A142" s="21" t="inlineStr">
        <is>
          <t>• Control de chips</t>
        </is>
      </c>
      <c r="B142" s="22" t="inlineStr">
        <is>
          <t>Tarea</t>
        </is>
      </c>
      <c r="C142" s="23" t="inlineStr">
        <is>
          <t>RM</t>
        </is>
      </c>
      <c r="D142" s="23" t="inlineStr">
        <is>
          <t>Semanal</t>
        </is>
      </c>
      <c r="E142" s="23" t="inlineStr">
        <is>
          <t>45</t>
        </is>
      </c>
      <c r="F142" s="24" t="inlineStr">
        <is>
          <t>Dia/momento: Jueves. | Tiempo de origen (planilla Procesos Diarios) sin validar - no usar para calcular horas hasta confirmar con AB/RM | JL confirmo (18/08/2026): es el mismo proceso Chips que el de AB (bloqueo/desbloqueo AXpro/Paradox, jueves) - dos procedimientos de un mismo proceso. Fusion pendiente de hacer en detalle mas adelante. | Renombrado el 18/08/2026: JL confirmo que el jueves de RM se llama 'Configuracion AXPRO', pero estas tareas de facturacion/altas-bajas de chips no calzan obviamente con ese nombre - PENDIENTE confirmar si son lo mismo o si Configuracion AXPRO es otra cosa aparte.</t>
        </is>
      </c>
    </row>
    <row r="143" outlineLevel="3" ht="20" customHeight="1">
      <c r="A143" s="21" t="inlineStr">
        <is>
          <t>• Solicitar baja de chips</t>
        </is>
      </c>
      <c r="B143" s="22" t="inlineStr">
        <is>
          <t>Tarea</t>
        </is>
      </c>
      <c r="C143" s="23" t="inlineStr">
        <is>
          <t>RM</t>
        </is>
      </c>
      <c r="D143" s="23" t="inlineStr">
        <is>
          <t>Semanal</t>
        </is>
      </c>
      <c r="E143" s="23" t="inlineStr">
        <is>
          <t>15</t>
        </is>
      </c>
      <c r="F143" s="24" t="inlineStr">
        <is>
          <t>Dia/momento: Viernes. | Tiempo de origen (planilla Procesos Diarios) sin validar - no usar para calcular horas hasta confirmar con AB/RM | JL confirmo (18/08/2026): es el mismo proceso Chips que el de AB (bloqueo/desbloqueo AXpro/Paradox, jueves) - dos procedimientos de un mismo proceso. Fusion pendiente de hacer en detalle mas adelante. | Renombrado el 18/08/2026: JL confirmo que el jueves de RM se llama 'Configuracion AXPRO', pero estas tareas de facturacion/altas-bajas de chips no calzan obviamente con ese nombre - PENDIENTE confirmar si son lo mismo o si Configuracion AXPRO es otra cosa aparte.</t>
        </is>
      </c>
    </row>
    <row r="144" outlineLevel="3" ht="20" customHeight="1">
      <c r="A144" s="21" t="inlineStr">
        <is>
          <t>• Recupero de chips</t>
        </is>
      </c>
      <c r="B144" s="22" t="inlineStr">
        <is>
          <t>Tarea</t>
        </is>
      </c>
      <c r="C144" s="23" t="inlineStr">
        <is>
          <t>RM</t>
        </is>
      </c>
      <c r="D144" s="23" t="inlineStr">
        <is>
          <t>Semanal</t>
        </is>
      </c>
      <c r="E144" s="23" t="inlineStr">
        <is>
          <t>15</t>
        </is>
      </c>
      <c r="F144" s="24" t="inlineStr">
        <is>
          <t>Dia/momento: Jueves. | Tiempo de origen (planilla Procesos Diarios) sin validar - no usar para calcular horas hasta confirmar con AB/RM | JL confirmo (18/08/2026): es el mismo proceso Chips que el de AB (bloqueo/desbloqueo AXpro/Paradox, jueves) - dos procedimientos de un mismo proceso. Fusion pendiente de hacer en detalle mas adelante. | Renombrado el 18/08/2026: JL confirmo que el jueves de RM se llama 'Configuracion AXPRO', pero estas tareas de facturacion/altas-bajas de chips no calzan obviamente con ese nombre - PENDIENTE confirmar si son lo mismo o si Configuracion AXPRO es otra cosa aparte.</t>
        </is>
      </c>
    </row>
    <row r="145" outlineLevel="3" ht="20" customHeight="1">
      <c r="A145" s="21" t="inlineStr">
        <is>
          <t>• Activar chips (altas de lineas moviles)</t>
        </is>
      </c>
      <c r="B145" s="22" t="inlineStr">
        <is>
          <t>Tarea</t>
        </is>
      </c>
      <c r="C145" s="23" t="inlineStr">
        <is>
          <t>RM</t>
        </is>
      </c>
      <c r="D145" s="23" t="inlineStr">
        <is>
          <t>Semanal</t>
        </is>
      </c>
      <c r="E145" s="23" t="inlineStr">
        <is>
          <t>15</t>
        </is>
      </c>
      <c r="F145" s="24" t="inlineStr">
        <is>
          <t>Dia/momento: Jueves. | Tiempo de origen (planilla Procesos Diarios) sin validar - no usar para calcular horas hasta confirmar con AB/RM | JL confirmo (18/08/2026): es el mismo proceso Chips que el de AB (bloqueo/desbloqueo AXpro/Paradox, jueves) - dos procedimientos de un mismo proceso. Fusion pendiente de hacer en detalle mas adelante. | Renombrado el 18/08/2026: JL confirmo que el jueves de RM se llama 'Configuracion AXPRO', pero estas tareas de facturacion/altas-bajas de chips no calzan obviamente con ese nombre - PENDIENTE confirmar si son lo mismo o si Configuracion AXPRO es otra cosa aparte.</t>
        </is>
      </c>
    </row>
    <row r="146" outlineLevel="2" ht="30" customHeight="1">
      <c r="A146" s="17" t="inlineStr">
        <is>
          <t>→ Miercoles - Remoto de Equipos (REE)</t>
        </is>
      </c>
      <c r="B146" s="18" t="inlineStr">
        <is>
          <t>Proceso</t>
        </is>
      </c>
      <c r="C146" s="19" t="inlineStr"/>
      <c r="D146" s="19" t="inlineStr"/>
      <c r="E146" s="19" t="inlineStr"/>
      <c r="F146" s="20" t="inlineStr"/>
    </row>
    <row r="147" outlineLevel="3" ht="20" customHeight="1">
      <c r="A147" s="25" t="inlineStr">
        <is>
          <t>› REE</t>
        </is>
      </c>
      <c r="B147" s="26" t="inlineStr">
        <is>
          <t>Procedimiento</t>
        </is>
      </c>
      <c r="C147" s="27" t="inlineStr"/>
      <c r="D147" s="27" t="inlineStr"/>
      <c r="E147" s="27" t="inlineStr"/>
      <c r="F147" s="28" t="inlineStr"/>
    </row>
    <row r="148" outlineLevel="4" ht="20" customHeight="1">
      <c r="A148" s="29" t="inlineStr">
        <is>
          <t>• Carga de REE en Manager2GO</t>
        </is>
      </c>
      <c r="B148" s="22" t="inlineStr">
        <is>
          <t>Tarea</t>
        </is>
      </c>
      <c r="C148" s="23" t="inlineStr">
        <is>
          <t>RM</t>
        </is>
      </c>
      <c r="D148" s="23" t="inlineStr">
        <is>
          <t>Semanal</t>
        </is>
      </c>
      <c r="E148" s="23" t="inlineStr">
        <is>
          <t>360</t>
        </is>
      </c>
      <c r="F148" s="24" t="inlineStr">
        <is>
          <t>Dia/momento: Miercoles. | Tiempo de origen (planilla Procesos Diarios) sin validar - no usar para calcular horas hasta confirmar con AB/RM</t>
        </is>
      </c>
    </row>
    <row r="149" outlineLevel="4" ht="20" customHeight="1">
      <c r="A149" s="29" t="inlineStr">
        <is>
          <t>• Carga de chips en REE</t>
        </is>
      </c>
      <c r="B149" s="22" t="inlineStr">
        <is>
          <t>Tarea</t>
        </is>
      </c>
      <c r="C149" s="23" t="inlineStr">
        <is>
          <t>RM</t>
        </is>
      </c>
      <c r="D149" s="23" t="inlineStr">
        <is>
          <t>Semanal</t>
        </is>
      </c>
      <c r="E149" s="23" t="inlineStr">
        <is>
          <t>A confirmar</t>
        </is>
      </c>
      <c r="F149" s="24" t="inlineStr">
        <is>
          <t>Dia/momento: Miercoles. Tiempo no relevado en el PDF - confirmar</t>
        </is>
      </c>
    </row>
    <row r="150" outlineLevel="4" ht="20" customHeight="1">
      <c r="A150" s="29" t="inlineStr">
        <is>
          <t>• Carga de baterias en REE</t>
        </is>
      </c>
      <c r="B150" s="22" t="inlineStr">
        <is>
          <t>Tarea</t>
        </is>
      </c>
      <c r="C150" s="23" t="inlineStr">
        <is>
          <t>RM</t>
        </is>
      </c>
      <c r="D150" s="23" t="inlineStr">
        <is>
          <t>Semanal</t>
        </is>
      </c>
      <c r="E150" s="23" t="inlineStr">
        <is>
          <t>A confirmar</t>
        </is>
      </c>
      <c r="F150" s="24" t="inlineStr">
        <is>
          <t>Dia/momento: Miercoles. Tiempo no relevado en el PDF - confirmar</t>
        </is>
      </c>
    </row>
    <row r="151" outlineLevel="4" ht="20" customHeight="1">
      <c r="A151" s="29" t="inlineStr">
        <is>
          <t>• Pasar REE a carpeta 3</t>
        </is>
      </c>
      <c r="B151" s="22" t="inlineStr">
        <is>
          <t>Tarea</t>
        </is>
      </c>
      <c r="C151" s="23" t="inlineStr">
        <is>
          <t>RM</t>
        </is>
      </c>
      <c r="D151" s="23" t="inlineStr">
        <is>
          <t>Semanal</t>
        </is>
      </c>
      <c r="E151" s="23" t="inlineStr">
        <is>
          <t>360</t>
        </is>
      </c>
      <c r="F151" s="24" t="inlineStr">
        <is>
          <t>Dia/momento: Miercoles. | Tiempo de origen (planilla Procesos Diarios) sin validar - no usar para calcular horas hasta confirmar con AB/RM</t>
        </is>
      </c>
    </row>
    <row r="152" outlineLevel="4" ht="20" customHeight="1">
      <c r="A152" s="29" t="inlineStr">
        <is>
          <t>• Entrega de REE a Administracion</t>
        </is>
      </c>
      <c r="B152" s="22" t="inlineStr">
        <is>
          <t>Tarea</t>
        </is>
      </c>
      <c r="C152" s="23" t="inlineStr">
        <is>
          <t>RM</t>
        </is>
      </c>
      <c r="D152" s="23" t="inlineStr">
        <is>
          <t>Semanal</t>
        </is>
      </c>
      <c r="E152" s="23" t="inlineStr">
        <is>
          <t>25</t>
        </is>
      </c>
      <c r="F152" s="24" t="inlineStr">
        <is>
          <t>Dia/momento: Jueves. | Tiempo de origen (planilla Procesos Diarios) sin validar - no usar para calcular horas hasta confirmar con AB/RM</t>
        </is>
      </c>
    </row>
    <row r="153" outlineLevel="4" ht="20" customHeight="1">
      <c r="A153" s="29" t="inlineStr">
        <is>
          <t>• Adjuntar facturas a remito Manager2</t>
        </is>
      </c>
      <c r="B153" s="22" t="inlineStr">
        <is>
          <t>Tarea</t>
        </is>
      </c>
      <c r="C153" s="23" t="inlineStr">
        <is>
          <t>RM</t>
        </is>
      </c>
      <c r="D153" s="23" t="inlineStr">
        <is>
          <t>Semanal</t>
        </is>
      </c>
      <c r="E153" s="23" t="inlineStr">
        <is>
          <t>30</t>
        </is>
      </c>
      <c r="F153" s="24" t="inlineStr">
        <is>
          <t>Dia/momento: Jueves. | Tiempo de origen (planilla Procesos Diarios) sin validar - no usar para calcular horas hasta confirmar con AB/RM</t>
        </is>
      </c>
    </row>
    <row r="154" outlineLevel="2" ht="30" customHeight="1">
      <c r="A154" s="17" t="inlineStr">
        <is>
          <t>→ Gestion de Flota (RM)</t>
        </is>
      </c>
      <c r="B154" s="18" t="inlineStr">
        <is>
          <t>Proceso</t>
        </is>
      </c>
      <c r="C154" s="19" t="inlineStr"/>
      <c r="D154" s="19" t="inlineStr"/>
      <c r="E154" s="19" t="inlineStr"/>
      <c r="F154" s="20" t="inlineStr"/>
    </row>
    <row r="155" outlineLevel="3" ht="20" customHeight="1">
      <c r="A155" s="21" t="inlineStr">
        <is>
          <t>• Control ITV vehiculo AF061RG</t>
        </is>
      </c>
      <c r="B155" s="22" t="inlineStr">
        <is>
          <t>Tarea</t>
        </is>
      </c>
      <c r="C155" s="23" t="inlineStr">
        <is>
          <t>RM</t>
        </is>
      </c>
      <c r="D155" s="23" t="inlineStr">
        <is>
          <t>Semestral</t>
        </is>
      </c>
      <c r="E155" s="23" t="inlineStr">
        <is>
          <t>5</t>
        </is>
      </c>
      <c r="F155" s="24" t="inlineStr">
        <is>
          <t>Dia/momento: Nov/May. | Tiempo de origen (planilla Procesos Diarios) sin validar - no usar para calcular horas hasta confirmar con AB/RM</t>
        </is>
      </c>
    </row>
    <row r="156" outlineLevel="3" ht="20" customHeight="1">
      <c r="A156" s="21" t="inlineStr">
        <is>
          <t>• Control impuestos vehiculo AF061RG</t>
        </is>
      </c>
      <c r="B156" s="22" t="inlineStr">
        <is>
          <t>Tarea</t>
        </is>
      </c>
      <c r="C156" s="23" t="inlineStr">
        <is>
          <t>RM</t>
        </is>
      </c>
      <c r="D156" s="23" t="inlineStr">
        <is>
          <t>Semestral</t>
        </is>
      </c>
      <c r="E156" s="23" t="inlineStr">
        <is>
          <t>5</t>
        </is>
      </c>
      <c r="F156" s="24" t="inlineStr">
        <is>
          <t>Dia/momento: Nov/May. | Tiempo de origen (planilla Procesos Diarios) sin validar - no usar para calcular horas hasta confirmar con AB/RM</t>
        </is>
      </c>
    </row>
    <row r="157" outlineLevel="3" ht="20" customHeight="1">
      <c r="A157" s="21" t="inlineStr">
        <is>
          <t>• Control ITV vehiculo AC921LR</t>
        </is>
      </c>
      <c r="B157" s="22" t="inlineStr">
        <is>
          <t>Tarea</t>
        </is>
      </c>
      <c r="C157" s="23" t="inlineStr">
        <is>
          <t>RM</t>
        </is>
      </c>
      <c r="D157" s="23" t="inlineStr">
        <is>
          <t>Semestral</t>
        </is>
      </c>
      <c r="E157" s="23" t="inlineStr">
        <is>
          <t>5</t>
        </is>
      </c>
      <c r="F157" s="24" t="inlineStr">
        <is>
          <t>Dia/momento: Nov/May. | Tiempo de origen (planilla Procesos Diarios) sin validar - no usar para calcular horas hasta confirmar con AB/RM</t>
        </is>
      </c>
    </row>
    <row r="158" outlineLevel="3" ht="20" customHeight="1">
      <c r="A158" s="21" t="inlineStr">
        <is>
          <t>• Control impuestos vehiculo AC921LR</t>
        </is>
      </c>
      <c r="B158" s="22" t="inlineStr">
        <is>
          <t>Tarea</t>
        </is>
      </c>
      <c r="C158" s="23" t="inlineStr">
        <is>
          <t>RM</t>
        </is>
      </c>
      <c r="D158" s="23" t="inlineStr">
        <is>
          <t>Semestral</t>
        </is>
      </c>
      <c r="E158" s="23" t="inlineStr">
        <is>
          <t>5</t>
        </is>
      </c>
      <c r="F158" s="24" t="inlineStr">
        <is>
          <t>Dia/momento: Nov/May. | Tiempo de origen (planilla Procesos Diarios) sin validar - no usar para calcular horas hasta confirmar con AB/RM</t>
        </is>
      </c>
    </row>
    <row r="159" outlineLevel="2" ht="30" customHeight="1">
      <c r="A159" s="17" t="inlineStr">
        <is>
          <t>→ Preparacion y Directivas de ST (RM)</t>
        </is>
      </c>
      <c r="B159" s="18" t="inlineStr">
        <is>
          <t>Proceso</t>
        </is>
      </c>
      <c r="C159" s="19" t="inlineStr"/>
      <c r="D159" s="19" t="inlineStr"/>
      <c r="E159" s="19" t="inlineStr"/>
      <c r="F159" s="20" t="inlineStr"/>
    </row>
    <row r="160" outlineLevel="3" ht="20" customHeight="1">
      <c r="A160" s="21" t="inlineStr">
        <is>
          <t>• Preparacion de equipos (ST)</t>
        </is>
      </c>
      <c r="B160" s="22" t="inlineStr">
        <is>
          <t>Tarea</t>
        </is>
      </c>
      <c r="C160" s="23" t="inlineStr">
        <is>
          <t>RM</t>
        </is>
      </c>
      <c r="D160" s="23" t="inlineStr">
        <is>
          <t>Diario</t>
        </is>
      </c>
      <c r="E160" s="23" t="inlineStr">
        <is>
          <t>A confirmar</t>
        </is>
      </c>
      <c r="F160" s="24" t="inlineStr">
        <is>
          <t>Tiempo no relevado en el PDF - confirmar</t>
        </is>
      </c>
    </row>
    <row r="161" outlineLevel="3" ht="20" customHeight="1">
      <c r="A161" s="21" t="inlineStr">
        <is>
          <t>• Carga de directivas tecnicas</t>
        </is>
      </c>
      <c r="B161" s="22" t="inlineStr">
        <is>
          <t>Tarea</t>
        </is>
      </c>
      <c r="C161" s="23" t="inlineStr">
        <is>
          <t>RM</t>
        </is>
      </c>
      <c r="D161" s="23" t="inlineStr">
        <is>
          <t>Semanal</t>
        </is>
      </c>
      <c r="E161" s="23" t="inlineStr">
        <is>
          <t>A confirmar</t>
        </is>
      </c>
      <c r="F161" s="24" t="inlineStr">
        <is>
          <t>Dia/momento: Lunes. Tiempo no relevado en el PDF - confirmar</t>
        </is>
      </c>
    </row>
    <row r="162" outlineLevel="3" ht="20" customHeight="1">
      <c r="A162" s="21" t="inlineStr">
        <is>
          <t>• Entrega de directiva a Administracion</t>
        </is>
      </c>
      <c r="B162" s="22" t="inlineStr">
        <is>
          <t>Tarea</t>
        </is>
      </c>
      <c r="C162" s="23" t="inlineStr">
        <is>
          <t>RM</t>
        </is>
      </c>
      <c r="D162" s="23" t="inlineStr">
        <is>
          <t>Semanal</t>
        </is>
      </c>
      <c r="E162" s="23" t="inlineStr">
        <is>
          <t>15</t>
        </is>
      </c>
      <c r="F162" s="24" t="inlineStr">
        <is>
          <t>Dia/momento: Miercoles. | Tiempo de origen (planilla Procesos Diarios) sin validar - no usar para calcular horas hasta confirmar con AB/RM</t>
        </is>
      </c>
    </row>
    <row r="163" outlineLevel="3" ht="20" customHeight="1">
      <c r="A163" s="21" t="inlineStr">
        <is>
          <t>• Control de buen estado receptoras IPR512 (R-11)</t>
        </is>
      </c>
      <c r="B163" s="22" t="inlineStr">
        <is>
          <t>Tarea</t>
        </is>
      </c>
      <c r="C163" s="23" t="inlineStr">
        <is>
          <t>RM</t>
        </is>
      </c>
      <c r="D163" s="23" t="inlineStr">
        <is>
          <t>Diario</t>
        </is>
      </c>
      <c r="E163" s="23" t="inlineStr">
        <is>
          <t>A confirmar</t>
        </is>
      </c>
      <c r="F163" s="24" t="inlineStr">
        <is>
          <t>Tiempo no relevado en el PDF - confirmar</t>
        </is>
      </c>
    </row>
    <row r="164" outlineLevel="3" ht="20" customHeight="1">
      <c r="A164" s="21" t="inlineStr">
        <is>
          <t>• Mandar mensajes a AVATEC 02</t>
        </is>
      </c>
      <c r="B164" s="22" t="inlineStr">
        <is>
          <t>Tarea</t>
        </is>
      </c>
      <c r="C164" s="23" t="inlineStr">
        <is>
          <t>RM</t>
        </is>
      </c>
      <c r="D164" s="23" t="inlineStr">
        <is>
          <t>Diario</t>
        </is>
      </c>
      <c r="E164" s="23" t="inlineStr">
        <is>
          <t>A confirmar</t>
        </is>
      </c>
      <c r="F164" s="24" t="inlineStr">
        <is>
          <t>Tiempo no relevado en el PDF - confirmar</t>
        </is>
      </c>
    </row>
    <row r="165" outlineLevel="1" ht="30" customHeight="1">
      <c r="A165" s="13" t="inlineStr">
        <is>
          <t>▸ Procesos Transversales (compartidos por todo el equipo)</t>
        </is>
      </c>
      <c r="B165" s="14" t="inlineStr">
        <is>
          <t>Rama</t>
        </is>
      </c>
      <c r="C165" s="15" t="inlineStr"/>
      <c r="D165" s="15" t="inlineStr"/>
      <c r="E165" s="15" t="inlineStr"/>
      <c r="F165" s="16" t="inlineStr"/>
    </row>
    <row r="166" outlineLevel="2" ht="30" customHeight="1">
      <c r="A166" s="17" t="inlineStr">
        <is>
          <t>→ Tareas Reactivas (Interrupciones)</t>
        </is>
      </c>
      <c r="B166" s="18" t="inlineStr">
        <is>
          <t>Proceso</t>
        </is>
      </c>
      <c r="C166" s="19" t="inlineStr"/>
      <c r="D166" s="19" t="inlineStr"/>
      <c r="E166" s="19" t="inlineStr"/>
      <c r="F166" s="20" t="inlineStr"/>
    </row>
    <row r="167" outlineLevel="3" ht="20" customHeight="1">
      <c r="A167" s="21" t="inlineStr">
        <is>
          <t>• Coordinar instalaciones NCS</t>
        </is>
      </c>
      <c r="B167" s="22" t="inlineStr">
        <is>
          <t>Tarea</t>
        </is>
      </c>
      <c r="C167" s="23" t="inlineStr">
        <is>
          <t>AB</t>
        </is>
      </c>
      <c r="D167" s="23" t="inlineStr">
        <is>
          <t>Semanal</t>
        </is>
      </c>
      <c r="E167" s="23" t="inlineStr">
        <is>
          <t>5</t>
        </is>
      </c>
      <c r="F167" s="24" t="inlineStr">
        <is>
          <t>Dia/momento: Interrupcion. | Tiempo de origen (planilla Procesos Diarios) sin validar - no usar para calcular horas hasta confirmar con AB/RM</t>
        </is>
      </c>
    </row>
    <row r="168" outlineLevel="3" ht="20" customHeight="1">
      <c r="A168" s="21" t="inlineStr">
        <is>
          <t>• Responder informes de Monitoreo</t>
        </is>
      </c>
      <c r="B168" s="22" t="inlineStr">
        <is>
          <t>Tarea</t>
        </is>
      </c>
      <c r="C168" s="23" t="inlineStr">
        <is>
          <t>RM</t>
        </is>
      </c>
      <c r="D168" s="23" t="inlineStr">
        <is>
          <t>IntraDiario</t>
        </is>
      </c>
      <c r="E168" s="23" t="inlineStr">
        <is>
          <t>60</t>
        </is>
      </c>
      <c r="F168" s="24" t="inlineStr">
        <is>
          <t>Dia/momento: Interrupcion. | Tiempo de origen (planilla Procesos Diarios) sin validar - no usar para calcular horas hasta confirmar con AB/RM</t>
        </is>
      </c>
    </row>
    <row r="169" outlineLevel="3" ht="20" customHeight="1">
      <c r="A169" s="21" t="inlineStr">
        <is>
          <t>• Responder informes de Pvillarreal (CM)</t>
        </is>
      </c>
      <c r="B169" s="22" t="inlineStr">
        <is>
          <t>Tarea</t>
        </is>
      </c>
      <c r="C169" s="23" t="inlineStr">
        <is>
          <t>RM</t>
        </is>
      </c>
      <c r="D169" s="23" t="inlineStr">
        <is>
          <t>IntraDiario</t>
        </is>
      </c>
      <c r="E169" s="23" t="inlineStr">
        <is>
          <t>A confirmar</t>
        </is>
      </c>
      <c r="F169" s="24" t="inlineStr">
        <is>
          <t>Dia/momento: Interrupcion. Tiempo no relevado en el PDF - confirmar</t>
        </is>
      </c>
    </row>
    <row r="170" outlineLevel="3" ht="20" customHeight="1">
      <c r="A170" s="21" t="inlineStr">
        <is>
          <t>• Guardar y etiquetar stock que ingresa fuera de horario</t>
        </is>
      </c>
      <c r="B170" s="22" t="inlineStr">
        <is>
          <t>Tarea</t>
        </is>
      </c>
      <c r="C170" s="23" t="inlineStr">
        <is>
          <t>RM</t>
        </is>
      </c>
      <c r="D170" s="23" t="inlineStr">
        <is>
          <t>Quincenal</t>
        </is>
      </c>
      <c r="E170" s="23" t="inlineStr">
        <is>
          <t>120</t>
        </is>
      </c>
      <c r="F170" s="24" t="inlineStr">
        <is>
          <t>Dia/momento: Interrupcion. | Tiempo de origen (planilla Procesos Diarios) sin validar - no usar para calcular horas hasta confirmar con AB/RM</t>
        </is>
      </c>
    </row>
    <row r="171" outlineLevel="3" ht="20" customHeight="1">
      <c r="A171" s="21" t="inlineStr">
        <is>
          <t>• Recibir devolucion de instalacion (LM)</t>
        </is>
      </c>
      <c r="B171" s="22" t="inlineStr">
        <is>
          <t>Tarea</t>
        </is>
      </c>
      <c r="C171" s="23" t="inlineStr">
        <is>
          <t>AB / RM</t>
        </is>
      </c>
      <c r="D171" s="23" t="inlineStr">
        <is>
          <t>Semanal</t>
        </is>
      </c>
      <c r="E171" s="23" t="inlineStr">
        <is>
          <t>20</t>
        </is>
      </c>
      <c r="F171" s="24" t="inlineStr">
        <is>
          <t>Dia/momento: Lunes. Responsable en el catalogo figura como LOG (sin persona especifica asignada) | Tiempo de origen (planilla Procesos Diarios) sin validar - no usar para calcular horas hasta confirmar con AB/RM</t>
        </is>
      </c>
    </row>
    <row r="172" outlineLevel="3" ht="20" customHeight="1">
      <c r="A172" s="21" t="inlineStr">
        <is>
          <t>• Recibir devolucion de instalacion (AA)</t>
        </is>
      </c>
      <c r="B172" s="22" t="inlineStr">
        <is>
          <t>Tarea</t>
        </is>
      </c>
      <c r="C172" s="23" t="inlineStr">
        <is>
          <t>AB / RM</t>
        </is>
      </c>
      <c r="D172" s="23" t="inlineStr">
        <is>
          <t>Semanal</t>
        </is>
      </c>
      <c r="E172" s="23" t="inlineStr">
        <is>
          <t>20</t>
        </is>
      </c>
      <c r="F172" s="24" t="inlineStr">
        <is>
          <t>Dia/momento: Lunes. Responsable en el catalogo figura como LOG (sin persona especifica asignada) | Tiempo de origen (planilla Procesos Diarios) sin validar - no usar para calcular horas hasta confirmar con AB/RM</t>
        </is>
      </c>
    </row>
    <row r="173" outlineLevel="3" ht="20" customHeight="1">
      <c r="A173" s="21" t="inlineStr">
        <is>
          <t>• Atender telefono</t>
        </is>
      </c>
      <c r="B173" s="22" t="inlineStr">
        <is>
          <t>Tarea</t>
        </is>
      </c>
      <c r="C173" s="23" t="inlineStr">
        <is>
          <t>AB / RM</t>
        </is>
      </c>
      <c r="D173" s="23" t="inlineStr">
        <is>
          <t>Diario</t>
        </is>
      </c>
      <c r="E173" s="23" t="inlineStr">
        <is>
          <t>A confirmar</t>
        </is>
      </c>
      <c r="F173" s="24" t="inlineStr">
        <is>
          <t>Dia/momento: Interrupcion. Responsable en el catalogo figura como LOG (sin persona especifica asignada)</t>
        </is>
      </c>
    </row>
    <row r="174" outlineLevel="3" ht="20" customHeight="1">
      <c r="A174" s="21" t="inlineStr">
        <is>
          <t>• Atender tecnico en sitio</t>
        </is>
      </c>
      <c r="B174" s="22" t="inlineStr">
        <is>
          <t>Tarea</t>
        </is>
      </c>
      <c r="C174" s="23" t="inlineStr">
        <is>
          <t>AB / RM</t>
        </is>
      </c>
      <c r="D174" s="23" t="inlineStr">
        <is>
          <t>Diario</t>
        </is>
      </c>
      <c r="E174" s="23" t="inlineStr">
        <is>
          <t>A confirmar</t>
        </is>
      </c>
      <c r="F174" s="24" t="inlineStr">
        <is>
          <t>Dia/momento: Interrupcion. Responsable en el catalogo figura como LOG (sin persona especifica asignada)</t>
        </is>
      </c>
    </row>
    <row r="175" outlineLevel="3" ht="20" customHeight="1">
      <c r="A175" s="21" t="inlineStr">
        <is>
          <t>• Ingresar de forma remota por BabyWare</t>
        </is>
      </c>
      <c r="B175" s="22" t="inlineStr">
        <is>
          <t>Tarea</t>
        </is>
      </c>
      <c r="C175" s="23" t="inlineStr">
        <is>
          <t>AB / RM</t>
        </is>
      </c>
      <c r="D175" s="23" t="inlineStr">
        <is>
          <t>IntraDiario</t>
        </is>
      </c>
      <c r="E175" s="23" t="inlineStr">
        <is>
          <t>A confirmar</t>
        </is>
      </c>
      <c r="F175" s="24" t="inlineStr">
        <is>
          <t>Dia/momento: Interrupcion. Responsable en el catalogo figura como LOG (sin persona especifica asignada)</t>
        </is>
      </c>
    </row>
    <row r="176" outlineLevel="3" ht="20" customHeight="1">
      <c r="A176" s="21" t="inlineStr">
        <is>
          <t>• Mandar mensajes a Chips Jasper</t>
        </is>
      </c>
      <c r="B176" s="22" t="inlineStr">
        <is>
          <t>Tarea</t>
        </is>
      </c>
      <c r="C176" s="23" t="inlineStr">
        <is>
          <t>AB / RM</t>
        </is>
      </c>
      <c r="D176" s="23" t="inlineStr">
        <is>
          <t>IntraDiario</t>
        </is>
      </c>
      <c r="E176" s="23" t="inlineStr">
        <is>
          <t>A confirmar</t>
        </is>
      </c>
      <c r="F176" s="24" t="inlineStr">
        <is>
          <t>Dia/momento: Interrupcion. Responsable en el catalogo figura como LOG (sin persona especifica asignada)</t>
        </is>
      </c>
    </row>
    <row r="177" outlineLevel="3" ht="20" customHeight="1">
      <c r="A177" s="21" t="inlineStr">
        <is>
          <t>• Informar robo por Telegram</t>
        </is>
      </c>
      <c r="B177" s="22" t="inlineStr">
        <is>
          <t>Tarea</t>
        </is>
      </c>
      <c r="C177" s="23" t="inlineStr">
        <is>
          <t>AB / RM</t>
        </is>
      </c>
      <c r="D177" s="23" t="inlineStr">
        <is>
          <t>IntraDiario</t>
        </is>
      </c>
      <c r="E177" s="23" t="inlineStr">
        <is>
          <t>A confirmar</t>
        </is>
      </c>
      <c r="F177" s="24" t="inlineStr">
        <is>
          <t>Dia/momento: Interrupcion. Responsable en el catalogo figura como LOG (sin persona especifica asignada)</t>
        </is>
      </c>
    </row>
    <row r="178" outlineLevel="3" ht="20" customHeight="1">
      <c r="A178" s="21" t="inlineStr">
        <is>
          <t>• Atender llamadas de clientes (celular)</t>
        </is>
      </c>
      <c r="B178" s="22" t="inlineStr">
        <is>
          <t>Tarea</t>
        </is>
      </c>
      <c r="C178" s="23" t="inlineStr">
        <is>
          <t>AB / RM</t>
        </is>
      </c>
      <c r="D178" s="23" t="inlineStr">
        <is>
          <t>IntraDiario</t>
        </is>
      </c>
      <c r="E178" s="23" t="inlineStr">
        <is>
          <t>A confirmar</t>
        </is>
      </c>
      <c r="F178" s="24" t="inlineStr">
        <is>
          <t>Dia/momento: Interrupcion. Responsable en el catalogo figura como LOG (sin persona especifica asignada)</t>
        </is>
      </c>
    </row>
    <row r="179" outlineLevel="3" ht="20" customHeight="1">
      <c r="A179" s="21" t="inlineStr">
        <is>
          <t>• Carga de Servicio Tecnico (coordinacion)</t>
        </is>
      </c>
      <c r="B179" s="22" t="inlineStr">
        <is>
          <t>Tarea</t>
        </is>
      </c>
      <c r="C179" s="23" t="inlineStr">
        <is>
          <t>AB / RM</t>
        </is>
      </c>
      <c r="D179" s="23" t="inlineStr">
        <is>
          <t>Diario</t>
        </is>
      </c>
      <c r="E179" s="23" t="inlineStr">
        <is>
          <t>A confirmar</t>
        </is>
      </c>
      <c r="F179" s="24" t="inlineStr">
        <is>
          <t>Responsable en el catalogo figura como LOG (sin persona especifica asignada)</t>
        </is>
      </c>
    </row>
    <row r="180" outlineLevel="2" ht="30" customHeight="1">
      <c r="A180" s="17" t="inlineStr">
        <is>
          <t>→ Proceso de Cargas (nombre tentativo)</t>
        </is>
      </c>
      <c r="B180" s="18" t="inlineStr">
        <is>
          <t>Proceso</t>
        </is>
      </c>
      <c r="C180" s="19" t="inlineStr"/>
      <c r="D180" s="19" t="inlineStr"/>
      <c r="E180" s="19" t="inlineStr"/>
      <c r="F180" s="20" t="inlineStr"/>
    </row>
    <row r="181" outlineLevel="3" ht="20" customHeight="1">
      <c r="A181" s="25" t="inlineStr">
        <is>
          <t>› Planificacion y Carga de la Hoja de Procesos Diarios</t>
        </is>
      </c>
      <c r="B181" s="26" t="inlineStr">
        <is>
          <t>Procedimiento</t>
        </is>
      </c>
      <c r="C181" s="27" t="inlineStr"/>
      <c r="D181" s="27" t="inlineStr"/>
      <c r="E181" s="27" t="inlineStr"/>
      <c r="F181" s="28" t="inlineStr"/>
    </row>
    <row r="182" outlineLevel="4" ht="20" customHeight="1">
      <c r="A182" s="29" t="inlineStr">
        <is>
          <t>• Rehacer hoja de Procesos Diarios</t>
        </is>
      </c>
      <c r="B182" s="22" t="inlineStr">
        <is>
          <t>Tarea</t>
        </is>
      </c>
      <c r="C182" s="23" t="inlineStr">
        <is>
          <t>AB</t>
        </is>
      </c>
      <c r="D182" s="23" t="inlineStr">
        <is>
          <t>Mensual</t>
        </is>
      </c>
      <c r="E182" s="23" t="inlineStr">
        <is>
          <t>60</t>
        </is>
      </c>
      <c r="F182" s="24" t="inlineStr">
        <is>
          <t>Dia/momento: Ultimo dia. Nombre de proceso tentativo (JL, 18/08/2026). | Tiempo de origen (planilla Procesos Diarios) sin validar - no usar para calcular horas hasta confirmar con AB/RM</t>
        </is>
      </c>
    </row>
    <row r="183" outlineLevel="4" ht="20" customHeight="1">
      <c r="A183" s="29" t="inlineStr">
        <is>
          <t>• Rehacer hoja de Procesos Diarios</t>
        </is>
      </c>
      <c r="B183" s="22" t="inlineStr">
        <is>
          <t>Tarea</t>
        </is>
      </c>
      <c r="C183" s="23" t="inlineStr">
        <is>
          <t>RM</t>
        </is>
      </c>
      <c r="D183" s="23" t="inlineStr">
        <is>
          <t>Mensual</t>
        </is>
      </c>
      <c r="E183" s="23" t="inlineStr">
        <is>
          <t>A confirmar</t>
        </is>
      </c>
      <c r="F183" s="24" t="inlineStr">
        <is>
          <t>No aparece en el catalogo de RM - confirmar si RM tambien la hace o es solo de AB</t>
        </is>
      </c>
    </row>
    <row r="184" outlineLevel="4" ht="20" customHeight="1">
      <c r="A184" s="29" t="inlineStr">
        <is>
          <t>• Completar carga de Procesos Diarios</t>
        </is>
      </c>
      <c r="B184" s="22" t="inlineStr">
        <is>
          <t>Tarea</t>
        </is>
      </c>
      <c r="C184" s="23" t="inlineStr">
        <is>
          <t>AB</t>
        </is>
      </c>
      <c r="D184" s="23" t="inlineStr">
        <is>
          <t>Diario</t>
        </is>
      </c>
      <c r="E184" s="23" t="inlineStr">
        <is>
          <t>20</t>
        </is>
      </c>
      <c r="F184" s="24" t="inlineStr">
        <is>
          <t>Dia/momento: Primer dia. | Tiempo de origen (planilla Procesos Diarios) sin validar - no usar para calcular horas hasta confirmar con AB/RM</t>
        </is>
      </c>
    </row>
    <row r="185" outlineLevel="4" ht="20" customHeight="1">
      <c r="A185" s="29" t="inlineStr">
        <is>
          <t>• Completar carga de Procesos Diarios</t>
        </is>
      </c>
      <c r="B185" s="22" t="inlineStr">
        <is>
          <t>Tarea</t>
        </is>
      </c>
      <c r="C185" s="23" t="inlineStr">
        <is>
          <t>RM</t>
        </is>
      </c>
      <c r="D185" s="23" t="inlineStr">
        <is>
          <t>Diario</t>
        </is>
      </c>
      <c r="E185" s="23" t="inlineStr">
        <is>
          <t>5</t>
        </is>
      </c>
      <c r="F185" s="24" t="inlineStr">
        <is>
          <t>Dia/momento: Primer dia. Reubicada desde Rutina Administrativa Diaria (RM). | Tiempo de origen (planilla Procesos Diarios) sin validar - no usar para calcular horas hasta confirmar con AB/RM</t>
        </is>
      </c>
    </row>
    <row r="186" outlineLevel="2" ht="30" customHeight="1">
      <c r="A186" s="17" t="inlineStr">
        <is>
          <t>→ Sin Proceso Asignado (a un costado)</t>
        </is>
      </c>
      <c r="B186" s="18" t="inlineStr">
        <is>
          <t>Proceso</t>
        </is>
      </c>
      <c r="C186" s="19" t="inlineStr"/>
      <c r="D186" s="19" t="inlineStr"/>
      <c r="E186" s="19" t="inlineStr"/>
      <c r="F186" s="20" t="inlineStr"/>
    </row>
    <row r="187" outlineLevel="3" ht="20" customHeight="1">
      <c r="A187" s="21" t="inlineStr">
        <is>
          <t>• Subir publicidad en WhatsApp</t>
        </is>
      </c>
      <c r="B187" s="22" t="inlineStr">
        <is>
          <t>Tarea</t>
        </is>
      </c>
      <c r="C187" s="23" t="inlineStr">
        <is>
          <t>AB</t>
        </is>
      </c>
      <c r="D187" s="23" t="inlineStr">
        <is>
          <t>Diario</t>
        </is>
      </c>
      <c r="E187" s="23" t="inlineStr">
        <is>
          <t>5</t>
        </is>
      </c>
      <c r="F187" s="24" t="inlineStr">
        <is>
          <t>Dia/momento: Primer dia. Tarea comun a todo el equipo de LOG - JL: 'no hay proceso, trabajar en los procesos mas adelante'. | Tiempo de origen (planilla Procesos Diarios) sin validar - no usar para calcular horas hasta confirmar con AB/RM</t>
        </is>
      </c>
    </row>
    <row r="188" outlineLevel="3" ht="20" customHeight="1">
      <c r="A188" s="21" t="inlineStr">
        <is>
          <t>• Subir publicidad en WhatsApp</t>
        </is>
      </c>
      <c r="B188" s="22" t="inlineStr">
        <is>
          <t>Tarea</t>
        </is>
      </c>
      <c r="C188" s="23" t="inlineStr">
        <is>
          <t>RM</t>
        </is>
      </c>
      <c r="D188" s="23" t="inlineStr">
        <is>
          <t>Diario</t>
        </is>
      </c>
      <c r="E188" s="23" t="inlineStr">
        <is>
          <t>5</t>
        </is>
      </c>
      <c r="F188" s="24" t="inlineStr">
        <is>
          <t>Dia/momento: Primer dia. Reubicada desde Rutina Administrativa Diaria (RM). | Tiempo de origen (planilla Procesos Diarios) sin validar - no usar para calcular horas hasta confirmar con AB/RM</t>
        </is>
      </c>
    </row>
    <row r="189" outlineLevel="3" ht="20" customHeight="1">
      <c r="A189" s="21" t="inlineStr">
        <is>
          <t>• Ordenar escritorio</t>
        </is>
      </c>
      <c r="B189" s="22" t="inlineStr">
        <is>
          <t>Tarea</t>
        </is>
      </c>
      <c r="C189" s="23" t="inlineStr">
        <is>
          <t>AB</t>
        </is>
      </c>
      <c r="D189" s="23" t="inlineStr">
        <is>
          <t>Diario</t>
        </is>
      </c>
      <c r="E189" s="23" t="inlineStr">
        <is>
          <t>10</t>
        </is>
      </c>
      <c r="F189" s="24" t="inlineStr">
        <is>
          <t>Dia/momento: Primer dia. JL: deberian ser 15-20 min al final del dia; hoy complicado de cumplir. | Tiempo de origen (planilla Procesos Diarios) sin validar - no usar para calcular horas hasta confirmar con AB/RM</t>
        </is>
      </c>
    </row>
    <row r="190" outlineLevel="3" ht="20" customHeight="1">
      <c r="A190" s="21" t="inlineStr">
        <is>
          <t>• Ordenar escritorio</t>
        </is>
      </c>
      <c r="B190" s="22" t="inlineStr">
        <is>
          <t>Tarea</t>
        </is>
      </c>
      <c r="C190" s="23" t="inlineStr">
        <is>
          <t>RM</t>
        </is>
      </c>
      <c r="D190" s="23" t="inlineStr">
        <is>
          <t>Diario</t>
        </is>
      </c>
      <c r="E190" s="23" t="inlineStr">
        <is>
          <t>10</t>
        </is>
      </c>
      <c r="F190" s="24" t="inlineStr">
        <is>
          <t>Dia/momento: Primer dia. Reubicada desde Rutina Administrativa Diaria (RM). | Tiempo de origen (planilla Procesos Diarios) sin validar - no usar para calcular horas hasta confirmar con AB/RM</t>
        </is>
      </c>
    </row>
    <row r="191" outlineLevel="3" ht="20" customHeight="1">
      <c r="A191" s="21" t="inlineStr">
        <is>
          <t>• Preparacion de equipos de instalacion (ST)</t>
        </is>
      </c>
      <c r="B191" s="22" t="inlineStr">
        <is>
          <t>Tarea</t>
        </is>
      </c>
      <c r="C191" s="23" t="inlineStr">
        <is>
          <t>AB</t>
        </is>
      </c>
      <c r="D191" s="23" t="inlineStr">
        <is>
          <t>A Demanda</t>
        </is>
      </c>
      <c r="E191" s="23" t="inlineStr">
        <is>
          <t>30</t>
        </is>
      </c>
      <c r="F191" s="24" t="inlineStr">
        <is>
          <t>JL: 'no se en que proceso pondria esta tarea' - depende de cuanto venda Comercial, entre 0 y varias por 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96"/>
  <sheetViews>
    <sheetView showGridLines="0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34" customWidth="1" min="3" max="3"/>
    <col width="13" customWidth="1" min="4" max="4"/>
    <col width="11" customWidth="1" min="5" max="5"/>
    <col width="20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12" customWidth="1" min="33" max="33"/>
    <col width="12" customWidth="1" min="34" max="34"/>
    <col width="11" customWidth="1" min="35" max="35"/>
  </cols>
  <sheetData>
    <row r="1" ht="46" customHeight="1">
      <c r="A1" s="34" t="inlineStr">
        <is>
          <t>Proceso</t>
        </is>
      </c>
      <c r="B1" s="34" t="inlineStr">
        <is>
          <t>Procedimiento</t>
        </is>
      </c>
      <c r="C1" s="34" t="inlineStr">
        <is>
          <t>Tarea</t>
        </is>
      </c>
      <c r="D1" s="34" t="inlineStr">
        <is>
          <t>Frecuencia</t>
        </is>
      </c>
      <c r="E1" s="34" t="inlineStr">
        <is>
          <t>Tiempo est. (min)</t>
        </is>
      </c>
      <c r="F1" s="34" t="inlineStr">
        <is>
          <t>Cobertura de días</t>
        </is>
      </c>
      <c r="G1" s="35" t="inlineStr">
        <is>
          <t>S 01/08</t>
        </is>
      </c>
      <c r="H1" s="36" t="inlineStr">
        <is>
          <t>L 03/08</t>
        </is>
      </c>
      <c r="I1" s="36" t="inlineStr">
        <is>
          <t>M 04/08</t>
        </is>
      </c>
      <c r="J1" s="36" t="inlineStr">
        <is>
          <t>X 05/08</t>
        </is>
      </c>
      <c r="K1" s="36" t="inlineStr">
        <is>
          <t>J 06/08</t>
        </is>
      </c>
      <c r="L1" s="36" t="inlineStr">
        <is>
          <t>V 07/08</t>
        </is>
      </c>
      <c r="M1" s="35" t="inlineStr">
        <is>
          <t>S 08/08</t>
        </is>
      </c>
      <c r="N1" s="36" t="inlineStr">
        <is>
          <t>L 10/08</t>
        </is>
      </c>
      <c r="O1" s="36" t="inlineStr">
        <is>
          <t>M 11/08</t>
        </is>
      </c>
      <c r="P1" s="36" t="inlineStr">
        <is>
          <t>X 12/08</t>
        </is>
      </c>
      <c r="Q1" s="36" t="inlineStr">
        <is>
          <t>J 13/08</t>
        </is>
      </c>
      <c r="R1" s="36" t="inlineStr">
        <is>
          <t>V 14/08</t>
        </is>
      </c>
      <c r="S1" s="35" t="inlineStr">
        <is>
          <t>S 15/08</t>
        </is>
      </c>
      <c r="T1" s="36" t="inlineStr">
        <is>
          <t>L 17/08</t>
        </is>
      </c>
      <c r="U1" s="36" t="inlineStr">
        <is>
          <t>M 18/08</t>
        </is>
      </c>
      <c r="V1" s="36" t="inlineStr">
        <is>
          <t>X 19/08</t>
        </is>
      </c>
      <c r="W1" s="36" t="inlineStr">
        <is>
          <t>J 20/08</t>
        </is>
      </c>
      <c r="X1" s="36" t="inlineStr">
        <is>
          <t>V 21/08</t>
        </is>
      </c>
      <c r="Y1" s="35" t="inlineStr">
        <is>
          <t>S 22/08</t>
        </is>
      </c>
      <c r="Z1" s="36" t="inlineStr">
        <is>
          <t>L 24/08</t>
        </is>
      </c>
      <c r="AA1" s="36" t="inlineStr">
        <is>
          <t>M 25/08</t>
        </is>
      </c>
      <c r="AB1" s="36" t="inlineStr">
        <is>
          <t>X 26/08</t>
        </is>
      </c>
      <c r="AC1" s="36" t="inlineStr">
        <is>
          <t>J 27/08</t>
        </is>
      </c>
      <c r="AD1" s="36" t="inlineStr">
        <is>
          <t>V 28/08</t>
        </is>
      </c>
      <c r="AE1" s="35" t="inlineStr">
        <is>
          <t>S 29/08</t>
        </is>
      </c>
      <c r="AF1" s="36" t="inlineStr">
        <is>
          <t>L 31/08</t>
        </is>
      </c>
      <c r="AG1" s="34" t="inlineStr">
        <is>
          <t>Hs. esperadas (mes)</t>
        </is>
      </c>
      <c r="AH1" s="34" t="inlineStr">
        <is>
          <t>Hs. marcadas hechas</t>
        </is>
      </c>
      <c r="AI1" s="34" t="inlineStr">
        <is>
          <t>Diferencia (hs)</t>
        </is>
      </c>
    </row>
    <row r="2">
      <c r="A2" s="37" t="inlineStr">
        <is>
          <t>Administracion General (AB)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</row>
    <row r="3">
      <c r="A3" s="39" t="inlineStr">
        <is>
          <t>Administracion General (AB)</t>
        </is>
      </c>
      <c r="B3" s="40" t="inlineStr">
        <is>
          <t>N/A</t>
        </is>
      </c>
      <c r="C3" s="41" t="inlineStr">
        <is>
          <t>Control e impresion de R.E.E.</t>
        </is>
      </c>
      <c r="D3" s="42" t="inlineStr">
        <is>
          <t>Mensual</t>
        </is>
      </c>
      <c r="E3" s="42" t="n">
        <v>60</v>
      </c>
      <c r="F3" s="43" t="inlineStr">
        <is>
          <t>Fija</t>
        </is>
      </c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5" t="n"/>
      <c r="AC3" s="44" t="n"/>
      <c r="AD3" s="44" t="n"/>
      <c r="AE3" s="44" t="n"/>
      <c r="AF3" s="44" t="n"/>
      <c r="AG3" s="42" t="n">
        <v>1</v>
      </c>
      <c r="AH3" s="42">
        <f>COUNTIF(G3:AF3,"X")*60.0/60</f>
        <v/>
      </c>
      <c r="AI3" s="42">
        <f>AH3-AG3</f>
        <v/>
      </c>
    </row>
    <row r="4">
      <c r="A4" s="39" t="inlineStr">
        <is>
          <t>Administracion General (AB)</t>
        </is>
      </c>
      <c r="B4" s="40" t="inlineStr">
        <is>
          <t>N/A</t>
        </is>
      </c>
      <c r="C4" s="41" t="inlineStr">
        <is>
          <t>Control y solicitud de CSID a CM</t>
        </is>
      </c>
      <c r="D4" s="42" t="inlineStr">
        <is>
          <t>Quincenal</t>
        </is>
      </c>
      <c r="E4" s="42" t="n">
        <v>15</v>
      </c>
      <c r="F4" s="43" t="inlineStr">
        <is>
          <t>Fija</t>
        </is>
      </c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5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5" t="n"/>
      <c r="AD4" s="44" t="n"/>
      <c r="AE4" s="44" t="n"/>
      <c r="AF4" s="44" t="n"/>
      <c r="AG4" s="42" t="n">
        <v>0.5</v>
      </c>
      <c r="AH4" s="42">
        <f>COUNTIF(G4:AF4,"X")*15.0/60</f>
        <v/>
      </c>
      <c r="AI4" s="42">
        <f>AH4-AG4</f>
        <v/>
      </c>
    </row>
    <row r="5">
      <c r="A5" s="37" t="inlineStr">
        <is>
          <t>Tareas Reactivas (Interrupciones)</t>
        </is>
      </c>
      <c r="B5" s="38" t="n"/>
      <c r="C5" s="38" t="n"/>
      <c r="D5" s="38" t="n"/>
      <c r="E5" s="38" t="n"/>
      <c r="F5" s="38" t="n"/>
      <c r="G5" s="38" t="n"/>
      <c r="H5" s="38" t="n"/>
      <c r="I5" s="38" t="n"/>
      <c r="J5" s="38" t="n"/>
      <c r="K5" s="38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8" t="n"/>
      <c r="AI5" s="38" t="n"/>
    </row>
    <row r="6">
      <c r="A6" s="39" t="inlineStr">
        <is>
          <t>Tareas Reactivas (Interrupciones)</t>
        </is>
      </c>
      <c r="B6" s="40" t="inlineStr">
        <is>
          <t>N/A</t>
        </is>
      </c>
      <c r="C6" s="41" t="inlineStr">
        <is>
          <t>Coordinar instalaciones NCS</t>
        </is>
      </c>
      <c r="D6" s="42" t="inlineStr">
        <is>
          <t>Semanal</t>
        </is>
      </c>
      <c r="E6" s="42" t="n">
        <v>5</v>
      </c>
      <c r="F6" s="43" t="inlineStr">
        <is>
          <t>Cualquier día (reactiva)</t>
        </is>
      </c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2" t="inlineStr">
        <is>
          <t>—</t>
        </is>
      </c>
      <c r="AH6" s="42">
        <f>COUNTIF(G6:AF6,"X")*5.0/60</f>
        <v/>
      </c>
      <c r="AI6" s="42" t="inlineStr">
        <is>
          <t>—</t>
        </is>
      </c>
    </row>
    <row r="7">
      <c r="A7" s="39" t="inlineStr">
        <is>
          <t>Tareas Reactivas (Interrupciones)</t>
        </is>
      </c>
      <c r="B7" s="40" t="inlineStr">
        <is>
          <t>N/A</t>
        </is>
      </c>
      <c r="C7" s="41" t="inlineStr">
        <is>
          <t>Responder informes de Monitoreo</t>
        </is>
      </c>
      <c r="D7" s="42" t="inlineStr">
        <is>
          <t>IntraDiario</t>
        </is>
      </c>
      <c r="E7" s="42" t="n">
        <v>60</v>
      </c>
      <c r="F7" s="43" t="inlineStr">
        <is>
          <t>Cualquier día (reactiva)</t>
        </is>
      </c>
      <c r="G7" s="46" t="n"/>
      <c r="H7" s="46" t="n"/>
      <c r="I7" s="46" t="n"/>
      <c r="J7" s="46" t="n"/>
      <c r="K7" s="46" t="n"/>
      <c r="L7" s="46" t="n"/>
      <c r="M7" s="46" t="n"/>
      <c r="N7" s="46" t="n"/>
      <c r="O7" s="46" t="n"/>
      <c r="P7" s="46" t="n"/>
      <c r="Q7" s="46" t="n"/>
      <c r="R7" s="46" t="n"/>
      <c r="S7" s="46" t="n"/>
      <c r="T7" s="46" t="n"/>
      <c r="U7" s="46" t="n"/>
      <c r="V7" s="46" t="n"/>
      <c r="W7" s="46" t="n"/>
      <c r="X7" s="46" t="n"/>
      <c r="Y7" s="46" t="n"/>
      <c r="Z7" s="46" t="n"/>
      <c r="AA7" s="46" t="n"/>
      <c r="AB7" s="46" t="n"/>
      <c r="AC7" s="46" t="n"/>
      <c r="AD7" s="46" t="n"/>
      <c r="AE7" s="46" t="n"/>
      <c r="AF7" s="46" t="n"/>
      <c r="AG7" s="42" t="inlineStr">
        <is>
          <t>—</t>
        </is>
      </c>
      <c r="AH7" s="42">
        <f>COUNTIF(G7:AF7,"X")*60.0/60</f>
        <v/>
      </c>
      <c r="AI7" s="42" t="inlineStr">
        <is>
          <t>—</t>
        </is>
      </c>
    </row>
    <row r="8">
      <c r="A8" s="39" t="inlineStr">
        <is>
          <t>Tareas Reactivas (Interrupciones)</t>
        </is>
      </c>
      <c r="B8" s="40" t="inlineStr">
        <is>
          <t>N/A</t>
        </is>
      </c>
      <c r="C8" s="41" t="inlineStr">
        <is>
          <t>Responder informes de Pvillarreal (CM)</t>
        </is>
      </c>
      <c r="D8" s="42" t="inlineStr">
        <is>
          <t>IntraDiario</t>
        </is>
      </c>
      <c r="E8" s="42" t="inlineStr">
        <is>
          <t>A confirmar</t>
        </is>
      </c>
      <c r="F8" s="43" t="inlineStr">
        <is>
          <t>Cualquier día (reactiva)</t>
        </is>
      </c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6" t="n"/>
      <c r="W8" s="46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6" t="n"/>
      <c r="AG8" s="42" t="inlineStr">
        <is>
          <t>—</t>
        </is>
      </c>
      <c r="AH8" s="42">
        <f>COUNTIF(G8:AF8,"X")</f>
        <v/>
      </c>
      <c r="AI8" s="42" t="inlineStr">
        <is>
          <t>—</t>
        </is>
      </c>
    </row>
    <row r="9">
      <c r="A9" s="39" t="inlineStr">
        <is>
          <t>Tareas Reactivas (Interrupciones)</t>
        </is>
      </c>
      <c r="B9" s="40" t="inlineStr">
        <is>
          <t>N/A</t>
        </is>
      </c>
      <c r="C9" s="41" t="inlineStr">
        <is>
          <t>Guardar y etiquetar stock que ingresa fuera de horario</t>
        </is>
      </c>
      <c r="D9" s="42" t="inlineStr">
        <is>
          <t>Quincenal</t>
        </is>
      </c>
      <c r="E9" s="42" t="n">
        <v>120</v>
      </c>
      <c r="F9" s="43" t="inlineStr">
        <is>
          <t>Cualquier día (reactiva)</t>
        </is>
      </c>
      <c r="G9" s="46" t="n"/>
      <c r="H9" s="46" t="n"/>
      <c r="I9" s="46" t="n"/>
      <c r="J9" s="46" t="n"/>
      <c r="K9" s="46" t="n"/>
      <c r="L9" s="46" t="n"/>
      <c r="M9" s="46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46" t="n"/>
      <c r="AE9" s="46" t="n"/>
      <c r="AF9" s="46" t="n"/>
      <c r="AG9" s="42" t="inlineStr">
        <is>
          <t>—</t>
        </is>
      </c>
      <c r="AH9" s="42">
        <f>COUNTIF(G9:AF9,"X")*120.0/60</f>
        <v/>
      </c>
      <c r="AI9" s="42" t="inlineStr">
        <is>
          <t>—</t>
        </is>
      </c>
    </row>
    <row r="10">
      <c r="A10" s="39" t="inlineStr">
        <is>
          <t>Tareas Reactivas (Interrupciones)</t>
        </is>
      </c>
      <c r="B10" s="40" t="inlineStr">
        <is>
          <t>N/A</t>
        </is>
      </c>
      <c r="C10" s="41" t="inlineStr">
        <is>
          <t>Recibir devolucion de instalacion (LM)</t>
        </is>
      </c>
      <c r="D10" s="42" t="inlineStr">
        <is>
          <t>Semanal</t>
        </is>
      </c>
      <c r="E10" s="42" t="n">
        <v>20</v>
      </c>
      <c r="F10" s="43" t="inlineStr">
        <is>
          <t>Fija</t>
        </is>
      </c>
      <c r="G10" s="44" t="n"/>
      <c r="H10" s="45" t="n"/>
      <c r="I10" s="44" t="n"/>
      <c r="J10" s="44" t="n"/>
      <c r="K10" s="44" t="n"/>
      <c r="L10" s="44" t="n"/>
      <c r="M10" s="44" t="n"/>
      <c r="N10" s="45" t="n"/>
      <c r="O10" s="44" t="n"/>
      <c r="P10" s="44" t="n"/>
      <c r="Q10" s="44" t="n"/>
      <c r="R10" s="44" t="n"/>
      <c r="S10" s="44" t="n"/>
      <c r="T10" s="45" t="n"/>
      <c r="U10" s="44" t="n"/>
      <c r="V10" s="44" t="n"/>
      <c r="W10" s="44" t="n"/>
      <c r="X10" s="44" t="n"/>
      <c r="Y10" s="44" t="n"/>
      <c r="Z10" s="45" t="n"/>
      <c r="AA10" s="44" t="n"/>
      <c r="AB10" s="44" t="n"/>
      <c r="AC10" s="44" t="n"/>
      <c r="AD10" s="44" t="n"/>
      <c r="AE10" s="44" t="n"/>
      <c r="AF10" s="45" t="n"/>
      <c r="AG10" s="42" t="n">
        <v>1.67</v>
      </c>
      <c r="AH10" s="42">
        <f>COUNTIF(G10:AF10,"X")*20.0/60</f>
        <v/>
      </c>
      <c r="AI10" s="42">
        <f>AH10-AG10</f>
        <v/>
      </c>
    </row>
    <row r="11">
      <c r="A11" s="39" t="inlineStr">
        <is>
          <t>Tareas Reactivas (Interrupciones)</t>
        </is>
      </c>
      <c r="B11" s="40" t="inlineStr">
        <is>
          <t>N/A</t>
        </is>
      </c>
      <c r="C11" s="41" t="inlineStr">
        <is>
          <t>Recibir devolucion de instalacion (AA)</t>
        </is>
      </c>
      <c r="D11" s="42" t="inlineStr">
        <is>
          <t>Semanal</t>
        </is>
      </c>
      <c r="E11" s="42" t="n">
        <v>20</v>
      </c>
      <c r="F11" s="43" t="inlineStr">
        <is>
          <t>Fija</t>
        </is>
      </c>
      <c r="G11" s="44" t="n"/>
      <c r="H11" s="45" t="n"/>
      <c r="I11" s="44" t="n"/>
      <c r="J11" s="44" t="n"/>
      <c r="K11" s="44" t="n"/>
      <c r="L11" s="44" t="n"/>
      <c r="M11" s="44" t="n"/>
      <c r="N11" s="45" t="n"/>
      <c r="O11" s="44" t="n"/>
      <c r="P11" s="44" t="n"/>
      <c r="Q11" s="44" t="n"/>
      <c r="R11" s="44" t="n"/>
      <c r="S11" s="44" t="n"/>
      <c r="T11" s="45" t="n"/>
      <c r="U11" s="44" t="n"/>
      <c r="V11" s="44" t="n"/>
      <c r="W11" s="44" t="n"/>
      <c r="X11" s="44" t="n"/>
      <c r="Y11" s="44" t="n"/>
      <c r="Z11" s="45" t="n"/>
      <c r="AA11" s="44" t="n"/>
      <c r="AB11" s="44" t="n"/>
      <c r="AC11" s="44" t="n"/>
      <c r="AD11" s="44" t="n"/>
      <c r="AE11" s="44" t="n"/>
      <c r="AF11" s="45" t="n"/>
      <c r="AG11" s="42" t="n">
        <v>1.67</v>
      </c>
      <c r="AH11" s="42">
        <f>COUNTIF(G11:AF11,"X")*20.0/60</f>
        <v/>
      </c>
      <c r="AI11" s="42">
        <f>AH11-AG11</f>
        <v/>
      </c>
    </row>
    <row r="12">
      <c r="A12" s="39" t="inlineStr">
        <is>
          <t>Tareas Reactivas (Interrupciones)</t>
        </is>
      </c>
      <c r="B12" s="40" t="inlineStr">
        <is>
          <t>N/A</t>
        </is>
      </c>
      <c r="C12" s="41" t="inlineStr">
        <is>
          <t>Atender telefono</t>
        </is>
      </c>
      <c r="D12" s="42" t="inlineStr">
        <is>
          <t>Diario</t>
        </is>
      </c>
      <c r="E12" s="42" t="inlineStr">
        <is>
          <t>A confirmar</t>
        </is>
      </c>
      <c r="F12" s="43" t="inlineStr">
        <is>
          <t>Cualquier día (reactiva)</t>
        </is>
      </c>
      <c r="G12" s="46" t="n"/>
      <c r="H12" s="46" t="n"/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  <c r="R12" s="46" t="n"/>
      <c r="S12" s="46" t="n"/>
      <c r="T12" s="46" t="n"/>
      <c r="U12" s="46" t="n"/>
      <c r="V12" s="46" t="n"/>
      <c r="W12" s="46" t="n"/>
      <c r="X12" s="46" t="n"/>
      <c r="Y12" s="46" t="n"/>
      <c r="Z12" s="46" t="n"/>
      <c r="AA12" s="46" t="n"/>
      <c r="AB12" s="46" t="n"/>
      <c r="AC12" s="46" t="n"/>
      <c r="AD12" s="46" t="n"/>
      <c r="AE12" s="46" t="n"/>
      <c r="AF12" s="46" t="n"/>
      <c r="AG12" s="42" t="inlineStr">
        <is>
          <t>—</t>
        </is>
      </c>
      <c r="AH12" s="42">
        <f>COUNTIF(G12:AF12,"X")</f>
        <v/>
      </c>
      <c r="AI12" s="42" t="inlineStr">
        <is>
          <t>—</t>
        </is>
      </c>
    </row>
    <row r="13">
      <c r="A13" s="39" t="inlineStr">
        <is>
          <t>Tareas Reactivas (Interrupciones)</t>
        </is>
      </c>
      <c r="B13" s="40" t="inlineStr">
        <is>
          <t>N/A</t>
        </is>
      </c>
      <c r="C13" s="41" t="inlineStr">
        <is>
          <t>Atender tecnico en sitio</t>
        </is>
      </c>
      <c r="D13" s="42" t="inlineStr">
        <is>
          <t>Diario</t>
        </is>
      </c>
      <c r="E13" s="42" t="inlineStr">
        <is>
          <t>A confirmar</t>
        </is>
      </c>
      <c r="F13" s="43" t="inlineStr">
        <is>
          <t>Cualquier día (reactiva)</t>
        </is>
      </c>
      <c r="G13" s="46" t="n"/>
      <c r="H13" s="46" t="n"/>
      <c r="I13" s="46" t="n"/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  <c r="AA13" s="46" t="n"/>
      <c r="AB13" s="46" t="n"/>
      <c r="AC13" s="46" t="n"/>
      <c r="AD13" s="46" t="n"/>
      <c r="AE13" s="46" t="n"/>
      <c r="AF13" s="46" t="n"/>
      <c r="AG13" s="42" t="inlineStr">
        <is>
          <t>—</t>
        </is>
      </c>
      <c r="AH13" s="42">
        <f>COUNTIF(G13:AF13,"X")</f>
        <v/>
      </c>
      <c r="AI13" s="42" t="inlineStr">
        <is>
          <t>—</t>
        </is>
      </c>
    </row>
    <row r="14">
      <c r="A14" s="39" t="inlineStr">
        <is>
          <t>Tareas Reactivas (Interrupciones)</t>
        </is>
      </c>
      <c r="B14" s="40" t="inlineStr">
        <is>
          <t>N/A</t>
        </is>
      </c>
      <c r="C14" s="41" t="inlineStr">
        <is>
          <t>Ingresar de forma remota por BabyWare</t>
        </is>
      </c>
      <c r="D14" s="42" t="inlineStr">
        <is>
          <t>IntraDiario</t>
        </is>
      </c>
      <c r="E14" s="42" t="inlineStr">
        <is>
          <t>A confirmar</t>
        </is>
      </c>
      <c r="F14" s="43" t="inlineStr">
        <is>
          <t>Cualquier día (reactiva)</t>
        </is>
      </c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2" t="inlineStr">
        <is>
          <t>—</t>
        </is>
      </c>
      <c r="AH14" s="42">
        <f>COUNTIF(G14:AF14,"X")</f>
        <v/>
      </c>
      <c r="AI14" s="42" t="inlineStr">
        <is>
          <t>—</t>
        </is>
      </c>
    </row>
    <row r="15">
      <c r="A15" s="39" t="inlineStr">
        <is>
          <t>Tareas Reactivas (Interrupciones)</t>
        </is>
      </c>
      <c r="B15" s="40" t="inlineStr">
        <is>
          <t>N/A</t>
        </is>
      </c>
      <c r="C15" s="41" t="inlineStr">
        <is>
          <t>Mandar mensajes a Chips Jasper</t>
        </is>
      </c>
      <c r="D15" s="42" t="inlineStr">
        <is>
          <t>IntraDiario</t>
        </is>
      </c>
      <c r="E15" s="42" t="inlineStr">
        <is>
          <t>A confirmar</t>
        </is>
      </c>
      <c r="F15" s="43" t="inlineStr">
        <is>
          <t>Cualquier día (reactiva)</t>
        </is>
      </c>
      <c r="G15" s="46" t="n"/>
      <c r="H15" s="46" t="n"/>
      <c r="I15" s="46" t="n"/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  <c r="AA15" s="46" t="n"/>
      <c r="AB15" s="46" t="n"/>
      <c r="AC15" s="46" t="n"/>
      <c r="AD15" s="46" t="n"/>
      <c r="AE15" s="46" t="n"/>
      <c r="AF15" s="46" t="n"/>
      <c r="AG15" s="42" t="inlineStr">
        <is>
          <t>—</t>
        </is>
      </c>
      <c r="AH15" s="42">
        <f>COUNTIF(G15:AF15,"X")</f>
        <v/>
      </c>
      <c r="AI15" s="42" t="inlineStr">
        <is>
          <t>—</t>
        </is>
      </c>
    </row>
    <row r="16">
      <c r="A16" s="39" t="inlineStr">
        <is>
          <t>Tareas Reactivas (Interrupciones)</t>
        </is>
      </c>
      <c r="B16" s="40" t="inlineStr">
        <is>
          <t>N/A</t>
        </is>
      </c>
      <c r="C16" s="41" t="inlineStr">
        <is>
          <t>Informar robo por Telegram</t>
        </is>
      </c>
      <c r="D16" s="42" t="inlineStr">
        <is>
          <t>IntraDiario</t>
        </is>
      </c>
      <c r="E16" s="42" t="inlineStr">
        <is>
          <t>A confirmar</t>
        </is>
      </c>
      <c r="F16" s="43" t="inlineStr">
        <is>
          <t>Cualquier día (reactiva)</t>
        </is>
      </c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  <c r="AG16" s="42" t="inlineStr">
        <is>
          <t>—</t>
        </is>
      </c>
      <c r="AH16" s="42">
        <f>COUNTIF(G16:AF16,"X")</f>
        <v/>
      </c>
      <c r="AI16" s="42" t="inlineStr">
        <is>
          <t>—</t>
        </is>
      </c>
    </row>
    <row r="17">
      <c r="A17" s="39" t="inlineStr">
        <is>
          <t>Tareas Reactivas (Interrupciones)</t>
        </is>
      </c>
      <c r="B17" s="40" t="inlineStr">
        <is>
          <t>N/A</t>
        </is>
      </c>
      <c r="C17" s="41" t="inlineStr">
        <is>
          <t>Atender llamadas de clientes (celular)</t>
        </is>
      </c>
      <c r="D17" s="42" t="inlineStr">
        <is>
          <t>IntraDiario</t>
        </is>
      </c>
      <c r="E17" s="42" t="inlineStr">
        <is>
          <t>A confirmar</t>
        </is>
      </c>
      <c r="F17" s="43" t="inlineStr">
        <is>
          <t>Cualquier día (reactiva)</t>
        </is>
      </c>
      <c r="G17" s="46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  <c r="AG17" s="42" t="inlineStr">
        <is>
          <t>—</t>
        </is>
      </c>
      <c r="AH17" s="42">
        <f>COUNTIF(G17:AF17,"X")</f>
        <v/>
      </c>
      <c r="AI17" s="42" t="inlineStr">
        <is>
          <t>—</t>
        </is>
      </c>
    </row>
    <row r="18">
      <c r="A18" s="39" t="inlineStr">
        <is>
          <t>Tareas Reactivas (Interrupciones)</t>
        </is>
      </c>
      <c r="B18" s="40" t="inlineStr">
        <is>
          <t>N/A</t>
        </is>
      </c>
      <c r="C18" s="41" t="inlineStr">
        <is>
          <t>Carga de Servicio Tecnico (coordinacion)</t>
        </is>
      </c>
      <c r="D18" s="42" t="inlineStr">
        <is>
          <t>Diario</t>
        </is>
      </c>
      <c r="E18" s="42" t="inlineStr">
        <is>
          <t>A confirmar</t>
        </is>
      </c>
      <c r="F18" s="43" t="inlineStr">
        <is>
          <t>Fija</t>
        </is>
      </c>
      <c r="G18" s="45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2" t="inlineStr">
        <is>
          <t>—</t>
        </is>
      </c>
      <c r="AH18" s="42">
        <f>COUNTIF(G18:AF18,"X")</f>
        <v/>
      </c>
      <c r="AI18" s="42" t="inlineStr">
        <is>
          <t>—</t>
        </is>
      </c>
    </row>
    <row r="19">
      <c r="A19" s="37" t="inlineStr">
        <is>
          <t>Administracion General (AB)</t>
        </is>
      </c>
      <c r="B19" s="38" t="n"/>
      <c r="C19" s="38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</row>
    <row r="20">
      <c r="A20" s="39" t="inlineStr">
        <is>
          <t>Administracion General (AB)</t>
        </is>
      </c>
      <c r="B20" s="40" t="inlineStr">
        <is>
          <t>N/A</t>
        </is>
      </c>
      <c r="C20" s="41" t="inlineStr">
        <is>
          <t>Actualizacion de Datacenter / servidores</t>
        </is>
      </c>
      <c r="D20" s="42" t="inlineStr">
        <is>
          <t>Mensual</t>
        </is>
      </c>
      <c r="E20" s="42" t="inlineStr">
        <is>
          <t>A confirmar</t>
        </is>
      </c>
      <c r="F20" s="43" t="inlineStr">
        <is>
          <t>Fija</t>
        </is>
      </c>
      <c r="G20" s="45" t="n"/>
      <c r="H20" s="44" t="n"/>
      <c r="I20" s="44" t="n"/>
      <c r="J20" s="44" t="n"/>
      <c r="K20" s="44" t="n"/>
      <c r="L20" s="44" t="n"/>
      <c r="M20" s="44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  <c r="AE20" s="44" t="n"/>
      <c r="AF20" s="44" t="n"/>
      <c r="AG20" s="42" t="inlineStr">
        <is>
          <t>—</t>
        </is>
      </c>
      <c r="AH20" s="42">
        <f>COUNTIF(G20:AF20,"X")</f>
        <v/>
      </c>
      <c r="AI20" s="42" t="inlineStr">
        <is>
          <t>—</t>
        </is>
      </c>
    </row>
    <row r="21">
      <c r="A21" s="37" t="inlineStr">
        <is>
          <t>Proceso de Cargas (nombre tentativo)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38" t="n"/>
      <c r="AC21" s="38" t="n"/>
      <c r="AD21" s="38" t="n"/>
      <c r="AE21" s="38" t="n"/>
      <c r="AF21" s="38" t="n"/>
      <c r="AG21" s="38" t="n"/>
      <c r="AH21" s="38" t="n"/>
      <c r="AI21" s="38" t="n"/>
    </row>
    <row r="22">
      <c r="A22" s="39" t="inlineStr">
        <is>
          <t>Proceso de Cargas (nombre tentativo)</t>
        </is>
      </c>
      <c r="B22" s="40" t="inlineStr">
        <is>
          <t>Planificacion y Carga de la Hoja de Procesos Diarios</t>
        </is>
      </c>
      <c r="C22" s="41" t="inlineStr">
        <is>
          <t>Rehacer hoja de Procesos Diarios</t>
        </is>
      </c>
      <c r="D22" s="42" t="inlineStr">
        <is>
          <t>Mensual</t>
        </is>
      </c>
      <c r="E22" s="42" t="n">
        <v>60</v>
      </c>
      <c r="F22" s="43" t="inlineStr">
        <is>
          <t>Fija</t>
        </is>
      </c>
      <c r="G22" s="44" t="n"/>
      <c r="H22" s="44" t="n"/>
      <c r="I22" s="44" t="n"/>
      <c r="J22" s="44" t="n"/>
      <c r="K22" s="44" t="n"/>
      <c r="L22" s="44" t="n"/>
      <c r="M22" s="44" t="n"/>
      <c r="N22" s="44" t="n"/>
      <c r="O22" s="44" t="n"/>
      <c r="P22" s="44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  <c r="AE22" s="44" t="n"/>
      <c r="AF22" s="45" t="n"/>
      <c r="AG22" s="42" t="n">
        <v>1</v>
      </c>
      <c r="AH22" s="42">
        <f>COUNTIF(G22:AF22,"X")*60.0/60</f>
        <v/>
      </c>
      <c r="AI22" s="42">
        <f>AH22-AG22</f>
        <v/>
      </c>
    </row>
    <row r="23">
      <c r="A23" s="39" t="inlineStr">
        <is>
          <t>Proceso de Cargas (nombre tentativo)</t>
        </is>
      </c>
      <c r="B23" s="40" t="inlineStr">
        <is>
          <t>Planificacion y Carga de la Hoja de Procesos Diarios</t>
        </is>
      </c>
      <c r="C23" s="41" t="inlineStr">
        <is>
          <t>Rehacer hoja de Procesos Diarios</t>
        </is>
      </c>
      <c r="D23" s="42" t="inlineStr">
        <is>
          <t>Mensual</t>
        </is>
      </c>
      <c r="E23" s="42" t="inlineStr">
        <is>
          <t>A confirmar</t>
        </is>
      </c>
      <c r="F23" s="43" t="inlineStr">
        <is>
          <t>Fija</t>
        </is>
      </c>
      <c r="G23" s="45" t="n"/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  <c r="AE23" s="44" t="n"/>
      <c r="AF23" s="44" t="n"/>
      <c r="AG23" s="42" t="inlineStr">
        <is>
          <t>—</t>
        </is>
      </c>
      <c r="AH23" s="42">
        <f>COUNTIF(G23:AF23,"X")</f>
        <v/>
      </c>
      <c r="AI23" s="42" t="inlineStr">
        <is>
          <t>—</t>
        </is>
      </c>
    </row>
    <row r="24">
      <c r="A24" s="39" t="inlineStr">
        <is>
          <t>Proceso de Cargas (nombre tentativo)</t>
        </is>
      </c>
      <c r="B24" s="40" t="inlineStr">
        <is>
          <t>Planificacion y Carga de la Hoja de Procesos Diarios</t>
        </is>
      </c>
      <c r="C24" s="41" t="inlineStr">
        <is>
          <t>Completar carga de Procesos Diarios</t>
        </is>
      </c>
      <c r="D24" s="42" t="inlineStr">
        <is>
          <t>Diario</t>
        </is>
      </c>
      <c r="E24" s="42" t="n">
        <v>20</v>
      </c>
      <c r="F24" s="43" t="inlineStr">
        <is>
          <t>Fija</t>
        </is>
      </c>
      <c r="G24" s="45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2" t="n">
        <v>8.67</v>
      </c>
      <c r="AH24" s="42">
        <f>COUNTIF(G24:AF24,"X")*20.0/60</f>
        <v/>
      </c>
      <c r="AI24" s="42">
        <f>AH24-AG24</f>
        <v/>
      </c>
    </row>
    <row r="25">
      <c r="A25" s="39" t="inlineStr">
        <is>
          <t>Proceso de Cargas (nombre tentativo)</t>
        </is>
      </c>
      <c r="B25" s="40" t="inlineStr">
        <is>
          <t>Planificacion y Carga de la Hoja de Procesos Diarios</t>
        </is>
      </c>
      <c r="C25" s="41" t="inlineStr">
        <is>
          <t>Completar carga de Procesos Diarios</t>
        </is>
      </c>
      <c r="D25" s="42" t="inlineStr">
        <is>
          <t>Diario</t>
        </is>
      </c>
      <c r="E25" s="42" t="n">
        <v>5</v>
      </c>
      <c r="F25" s="43" t="inlineStr">
        <is>
          <t>Fija</t>
        </is>
      </c>
      <c r="G25" s="45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2" t="n">
        <v>2.17</v>
      </c>
      <c r="AH25" s="42">
        <f>COUNTIF(G25:AF25,"X")*5.0/60</f>
        <v/>
      </c>
      <c r="AI25" s="42">
        <f>AH25-AG25</f>
        <v/>
      </c>
    </row>
    <row r="26">
      <c r="A26" s="37" t="inlineStr">
        <is>
          <t>Sin Proceso Asignado (a un costado)</t>
        </is>
      </c>
      <c r="B26" s="38" t="n"/>
      <c r="C26" s="38" t="n"/>
      <c r="D26" s="38" t="n"/>
      <c r="E26" s="38" t="n"/>
      <c r="F26" s="38" t="n"/>
      <c r="G26" s="38" t="n"/>
      <c r="H26" s="38" t="n"/>
      <c r="I26" s="38" t="n"/>
      <c r="J26" s="38" t="n"/>
      <c r="K26" s="38" t="n"/>
      <c r="L26" s="38" t="n"/>
      <c r="M26" s="38" t="n"/>
      <c r="N26" s="38" t="n"/>
      <c r="O26" s="38" t="n"/>
      <c r="P26" s="38" t="n"/>
      <c r="Q26" s="38" t="n"/>
      <c r="R26" s="38" t="n"/>
      <c r="S26" s="38" t="n"/>
      <c r="T26" s="38" t="n"/>
      <c r="U26" s="38" t="n"/>
      <c r="V26" s="38" t="n"/>
      <c r="W26" s="38" t="n"/>
      <c r="X26" s="38" t="n"/>
      <c r="Y26" s="38" t="n"/>
      <c r="Z26" s="38" t="n"/>
      <c r="AA26" s="38" t="n"/>
      <c r="AB26" s="38" t="n"/>
      <c r="AC26" s="38" t="n"/>
      <c r="AD26" s="38" t="n"/>
      <c r="AE26" s="38" t="n"/>
      <c r="AF26" s="38" t="n"/>
      <c r="AG26" s="38" t="n"/>
      <c r="AH26" s="38" t="n"/>
      <c r="AI26" s="38" t="n"/>
    </row>
    <row r="27">
      <c r="A27" s="39" t="inlineStr">
        <is>
          <t>Sin Proceso Asignado (a un costado)</t>
        </is>
      </c>
      <c r="B27" s="40" t="inlineStr">
        <is>
          <t>N/A</t>
        </is>
      </c>
      <c r="C27" s="41" t="inlineStr">
        <is>
          <t>Subir publicidad en WhatsApp</t>
        </is>
      </c>
      <c r="D27" s="42" t="inlineStr">
        <is>
          <t>Diario</t>
        </is>
      </c>
      <c r="E27" s="42" t="n">
        <v>5</v>
      </c>
      <c r="F27" s="43" t="inlineStr">
        <is>
          <t>Fija</t>
        </is>
      </c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2" t="n">
        <v>2.17</v>
      </c>
      <c r="AH27" s="42">
        <f>COUNTIF(G27:AF27,"X")*5.0/60</f>
        <v/>
      </c>
      <c r="AI27" s="42">
        <f>AH27-AG27</f>
        <v/>
      </c>
    </row>
    <row r="28">
      <c r="A28" s="39" t="inlineStr">
        <is>
          <t>Sin Proceso Asignado (a un costado)</t>
        </is>
      </c>
      <c r="B28" s="40" t="inlineStr">
        <is>
          <t>N/A</t>
        </is>
      </c>
      <c r="C28" s="41" t="inlineStr">
        <is>
          <t>Subir publicidad en WhatsApp</t>
        </is>
      </c>
      <c r="D28" s="42" t="inlineStr">
        <is>
          <t>Diario</t>
        </is>
      </c>
      <c r="E28" s="42" t="n">
        <v>5</v>
      </c>
      <c r="F28" s="43" t="inlineStr">
        <is>
          <t>Fija</t>
        </is>
      </c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2" t="n">
        <v>2.17</v>
      </c>
      <c r="AH28" s="42">
        <f>COUNTIF(G28:AF28,"X")*5.0/60</f>
        <v/>
      </c>
      <c r="AI28" s="42">
        <f>AH28-AG28</f>
        <v/>
      </c>
    </row>
    <row r="29">
      <c r="A29" s="39" t="inlineStr">
        <is>
          <t>Sin Proceso Asignado (a un costado)</t>
        </is>
      </c>
      <c r="B29" s="40" t="inlineStr">
        <is>
          <t>N/A</t>
        </is>
      </c>
      <c r="C29" s="41" t="inlineStr">
        <is>
          <t>Ordenar escritorio</t>
        </is>
      </c>
      <c r="D29" s="42" t="inlineStr">
        <is>
          <t>Diario</t>
        </is>
      </c>
      <c r="E29" s="42" t="n">
        <v>10</v>
      </c>
      <c r="F29" s="43" t="inlineStr">
        <is>
          <t>Fija</t>
        </is>
      </c>
      <c r="G29" s="45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2" t="n">
        <v>4.33</v>
      </c>
      <c r="AH29" s="42">
        <f>COUNTIF(G29:AF29,"X")*10.0/60</f>
        <v/>
      </c>
      <c r="AI29" s="42">
        <f>AH29-AG29</f>
        <v/>
      </c>
    </row>
    <row r="30">
      <c r="A30" s="39" t="inlineStr">
        <is>
          <t>Sin Proceso Asignado (a un costado)</t>
        </is>
      </c>
      <c r="B30" s="40" t="inlineStr">
        <is>
          <t>N/A</t>
        </is>
      </c>
      <c r="C30" s="41" t="inlineStr">
        <is>
          <t>Ordenar escritorio</t>
        </is>
      </c>
      <c r="D30" s="42" t="inlineStr">
        <is>
          <t>Diario</t>
        </is>
      </c>
      <c r="E30" s="42" t="n">
        <v>10</v>
      </c>
      <c r="F30" s="43" t="inlineStr">
        <is>
          <t>Fija</t>
        </is>
      </c>
      <c r="G30" s="45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2" t="n">
        <v>4.33</v>
      </c>
      <c r="AH30" s="42">
        <f>COUNTIF(G30:AF30,"X")*10.0/60</f>
        <v/>
      </c>
      <c r="AI30" s="42">
        <f>AH30-AG30</f>
        <v/>
      </c>
    </row>
    <row r="31">
      <c r="A31" s="39" t="inlineStr">
        <is>
          <t>Sin Proceso Asignado (a un costado)</t>
        </is>
      </c>
      <c r="B31" s="40" t="inlineStr">
        <is>
          <t>N/A</t>
        </is>
      </c>
      <c r="C31" s="41" t="inlineStr">
        <is>
          <t>Preparacion de equipos de instalacion (ST)</t>
        </is>
      </c>
      <c r="D31" s="42" t="inlineStr">
        <is>
          <t>A Demanda</t>
        </is>
      </c>
      <c r="E31" s="42" t="n">
        <v>30</v>
      </c>
      <c r="F31" s="43" t="inlineStr">
        <is>
          <t>Cualquier día (reactiva)</t>
        </is>
      </c>
      <c r="G31" s="46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6" t="n"/>
      <c r="Q31" s="46" t="n"/>
      <c r="R31" s="46" t="n"/>
      <c r="S31" s="46" t="n"/>
      <c r="T31" s="46" t="n"/>
      <c r="U31" s="46" t="n"/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46" t="n"/>
      <c r="AE31" s="46" t="n"/>
      <c r="AF31" s="46" t="n"/>
      <c r="AG31" s="42" t="inlineStr">
        <is>
          <t>—</t>
        </is>
      </c>
      <c r="AH31" s="42">
        <f>COUNTIF(G31:AF31,"X")*30.0/60</f>
        <v/>
      </c>
      <c r="AI31" s="42" t="inlineStr">
        <is>
          <t>—</t>
        </is>
      </c>
    </row>
    <row r="32">
      <c r="A32" s="37" t="inlineStr">
        <is>
          <t>Chips (Jueves)</t>
        </is>
      </c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8" t="n"/>
      <c r="X32" s="38" t="n"/>
      <c r="Y32" s="38" t="n"/>
      <c r="Z32" s="38" t="n"/>
      <c r="AA32" s="38" t="n"/>
      <c r="AB32" s="38" t="n"/>
      <c r="AC32" s="38" t="n"/>
      <c r="AD32" s="38" t="n"/>
      <c r="AE32" s="38" t="n"/>
      <c r="AF32" s="38" t="n"/>
      <c r="AG32" s="38" t="n"/>
      <c r="AH32" s="38" t="n"/>
      <c r="AI32" s="38" t="n"/>
    </row>
    <row r="33">
      <c r="A33" s="39" t="inlineStr">
        <is>
          <t>Chips</t>
        </is>
      </c>
      <c r="B33" s="40" t="inlineStr">
        <is>
          <t>Bloqueo y Desbloqueo - AXpro</t>
        </is>
      </c>
      <c r="C33" s="41" t="inlineStr">
        <is>
          <t>Bloqueo de equipos AXpro</t>
        </is>
      </c>
      <c r="D33" s="42" t="inlineStr">
        <is>
          <t>Semanal</t>
        </is>
      </c>
      <c r="E33" s="42" t="n">
        <v>30</v>
      </c>
      <c r="F33" s="43" t="inlineStr">
        <is>
          <t>Fija</t>
        </is>
      </c>
      <c r="G33" s="44" t="n"/>
      <c r="H33" s="44" t="n"/>
      <c r="I33" s="44" t="n"/>
      <c r="J33" s="44" t="n"/>
      <c r="K33" s="45" t="n"/>
      <c r="L33" s="44" t="n"/>
      <c r="M33" s="44" t="n"/>
      <c r="N33" s="44" t="n"/>
      <c r="O33" s="44" t="n"/>
      <c r="P33" s="44" t="n"/>
      <c r="Q33" s="45" t="n"/>
      <c r="R33" s="44" t="n"/>
      <c r="S33" s="44" t="n"/>
      <c r="T33" s="44" t="n"/>
      <c r="U33" s="44" t="n"/>
      <c r="V33" s="44" t="n"/>
      <c r="W33" s="45" t="n"/>
      <c r="X33" s="44" t="n"/>
      <c r="Y33" s="44" t="n"/>
      <c r="Z33" s="44" t="n"/>
      <c r="AA33" s="44" t="n"/>
      <c r="AB33" s="44" t="n"/>
      <c r="AC33" s="45" t="n"/>
      <c r="AD33" s="44" t="n"/>
      <c r="AE33" s="44" t="n"/>
      <c r="AF33" s="44" t="n"/>
      <c r="AG33" s="42" t="n">
        <v>2</v>
      </c>
      <c r="AH33" s="42">
        <f>COUNTIF(G33:AF33,"X")*30.0/60</f>
        <v/>
      </c>
      <c r="AI33" s="42">
        <f>AH33-AG33</f>
        <v/>
      </c>
    </row>
    <row r="34">
      <c r="A34" s="39" t="inlineStr">
        <is>
          <t>Chips</t>
        </is>
      </c>
      <c r="B34" s="40" t="inlineStr">
        <is>
          <t>Bloqueo y Desbloqueo - Paradox (remoto)</t>
        </is>
      </c>
      <c r="C34" s="41" t="inlineStr">
        <is>
          <t>Bloqueo de equipos Paradox (PDX, remoto)</t>
        </is>
      </c>
      <c r="D34" s="42" t="inlineStr">
        <is>
          <t>Semanal</t>
        </is>
      </c>
      <c r="E34" s="42" t="n">
        <v>30</v>
      </c>
      <c r="F34" s="43" t="inlineStr">
        <is>
          <t>Fija</t>
        </is>
      </c>
      <c r="G34" s="44" t="n"/>
      <c r="H34" s="44" t="n"/>
      <c r="I34" s="44" t="n"/>
      <c r="J34" s="44" t="n"/>
      <c r="K34" s="45" t="n"/>
      <c r="L34" s="44" t="n"/>
      <c r="M34" s="44" t="n"/>
      <c r="N34" s="44" t="n"/>
      <c r="O34" s="44" t="n"/>
      <c r="P34" s="44" t="n"/>
      <c r="Q34" s="45" t="n"/>
      <c r="R34" s="44" t="n"/>
      <c r="S34" s="44" t="n"/>
      <c r="T34" s="44" t="n"/>
      <c r="U34" s="44" t="n"/>
      <c r="V34" s="44" t="n"/>
      <c r="W34" s="45" t="n"/>
      <c r="X34" s="44" t="n"/>
      <c r="Y34" s="44" t="n"/>
      <c r="Z34" s="44" t="n"/>
      <c r="AA34" s="44" t="n"/>
      <c r="AB34" s="44" t="n"/>
      <c r="AC34" s="45" t="n"/>
      <c r="AD34" s="44" t="n"/>
      <c r="AE34" s="44" t="n"/>
      <c r="AF34" s="44" t="n"/>
      <c r="AG34" s="42" t="n">
        <v>2</v>
      </c>
      <c r="AH34" s="42">
        <f>COUNTIF(G34:AF34,"X")*30.0/60</f>
        <v/>
      </c>
      <c r="AI34" s="42">
        <f>AH34-AG34</f>
        <v/>
      </c>
    </row>
    <row r="35">
      <c r="A35" s="39" t="inlineStr">
        <is>
          <t>Chips</t>
        </is>
      </c>
      <c r="B35" s="40" t="inlineStr">
        <is>
          <t>Bloqueo y Desbloqueo - AXpro</t>
        </is>
      </c>
      <c r="C35" s="41" t="inlineStr">
        <is>
          <t>Desbloqueo de equipos AXpro</t>
        </is>
      </c>
      <c r="D35" s="42" t="inlineStr">
        <is>
          <t>Semanal</t>
        </is>
      </c>
      <c r="E35" s="42" t="n">
        <v>30</v>
      </c>
      <c r="F35" s="43" t="inlineStr">
        <is>
          <t>Fija</t>
        </is>
      </c>
      <c r="G35" s="44" t="n"/>
      <c r="H35" s="44" t="n"/>
      <c r="I35" s="44" t="n"/>
      <c r="J35" s="44" t="n"/>
      <c r="K35" s="45" t="n"/>
      <c r="L35" s="44" t="n"/>
      <c r="M35" s="44" t="n"/>
      <c r="N35" s="44" t="n"/>
      <c r="O35" s="44" t="n"/>
      <c r="P35" s="44" t="n"/>
      <c r="Q35" s="45" t="n"/>
      <c r="R35" s="44" t="n"/>
      <c r="S35" s="44" t="n"/>
      <c r="T35" s="44" t="n"/>
      <c r="U35" s="44" t="n"/>
      <c r="V35" s="44" t="n"/>
      <c r="W35" s="45" t="n"/>
      <c r="X35" s="44" t="n"/>
      <c r="Y35" s="44" t="n"/>
      <c r="Z35" s="44" t="n"/>
      <c r="AA35" s="44" t="n"/>
      <c r="AB35" s="44" t="n"/>
      <c r="AC35" s="45" t="n"/>
      <c r="AD35" s="44" t="n"/>
      <c r="AE35" s="44" t="n"/>
      <c r="AF35" s="44" t="n"/>
      <c r="AG35" s="42" t="n">
        <v>2</v>
      </c>
      <c r="AH35" s="42">
        <f>COUNTIF(G35:AF35,"X")*30.0/60</f>
        <v/>
      </c>
      <c r="AI35" s="42">
        <f>AH35-AG35</f>
        <v/>
      </c>
    </row>
    <row r="36">
      <c r="A36" s="39" t="inlineStr">
        <is>
          <t>Chips</t>
        </is>
      </c>
      <c r="B36" s="40" t="inlineStr">
        <is>
          <t>Bloqueo y Desbloqueo - Paradox (remoto)</t>
        </is>
      </c>
      <c r="C36" s="41" t="inlineStr">
        <is>
          <t>Desbloqueo de equipos Paradox (PDX, remoto)</t>
        </is>
      </c>
      <c r="D36" s="42" t="inlineStr">
        <is>
          <t>Semanal</t>
        </is>
      </c>
      <c r="E36" s="42" t="n">
        <v>30</v>
      </c>
      <c r="F36" s="43" t="inlineStr">
        <is>
          <t>Fija</t>
        </is>
      </c>
      <c r="G36" s="44" t="n"/>
      <c r="H36" s="44" t="n"/>
      <c r="I36" s="44" t="n"/>
      <c r="J36" s="44" t="n"/>
      <c r="K36" s="45" t="n"/>
      <c r="L36" s="44" t="n"/>
      <c r="M36" s="44" t="n"/>
      <c r="N36" s="44" t="n"/>
      <c r="O36" s="44" t="n"/>
      <c r="P36" s="44" t="n"/>
      <c r="Q36" s="45" t="n"/>
      <c r="R36" s="44" t="n"/>
      <c r="S36" s="44" t="n"/>
      <c r="T36" s="44" t="n"/>
      <c r="U36" s="44" t="n"/>
      <c r="V36" s="44" t="n"/>
      <c r="W36" s="45" t="n"/>
      <c r="X36" s="44" t="n"/>
      <c r="Y36" s="44" t="n"/>
      <c r="Z36" s="44" t="n"/>
      <c r="AA36" s="44" t="n"/>
      <c r="AB36" s="44" t="n"/>
      <c r="AC36" s="45" t="n"/>
      <c r="AD36" s="44" t="n"/>
      <c r="AE36" s="44" t="n"/>
      <c r="AF36" s="44" t="n"/>
      <c r="AG36" s="42" t="n">
        <v>2</v>
      </c>
      <c r="AH36" s="42">
        <f>COUNTIF(G36:AF36,"X")*30.0/60</f>
        <v/>
      </c>
      <c r="AI36" s="42">
        <f>AH36-AG36</f>
        <v/>
      </c>
    </row>
    <row r="37">
      <c r="A37" s="37" t="inlineStr">
        <is>
          <t>Falla de Tests (Lunes)</t>
        </is>
      </c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8" t="n"/>
      <c r="X37" s="38" t="n"/>
      <c r="Y37" s="38" t="n"/>
      <c r="Z37" s="38" t="n"/>
      <c r="AA37" s="38" t="n"/>
      <c r="AB37" s="38" t="n"/>
      <c r="AC37" s="38" t="n"/>
      <c r="AD37" s="38" t="n"/>
      <c r="AE37" s="38" t="n"/>
      <c r="AF37" s="38" t="n"/>
      <c r="AG37" s="38" t="n"/>
      <c r="AH37" s="38" t="n"/>
      <c r="AI37" s="38" t="n"/>
    </row>
    <row r="38">
      <c r="A38" s="39" t="inlineStr">
        <is>
          <t>Falla de Tests</t>
        </is>
      </c>
      <c r="B38" s="40" t="inlineStr">
        <is>
          <t>Instructivo General (documento vinculado)</t>
        </is>
      </c>
      <c r="C38" s="41" t="inlineStr">
        <is>
          <t>Falla de Test - procedimiento general</t>
        </is>
      </c>
      <c r="D38" s="42" t="inlineStr">
        <is>
          <t>Semanal</t>
        </is>
      </c>
      <c r="E38" s="42" t="n">
        <v>30</v>
      </c>
      <c r="F38" s="43" t="inlineStr">
        <is>
          <t>Fija</t>
        </is>
      </c>
      <c r="G38" s="44" t="n"/>
      <c r="H38" s="45" t="n"/>
      <c r="I38" s="44" t="n"/>
      <c r="J38" s="44" t="n"/>
      <c r="K38" s="44" t="n"/>
      <c r="L38" s="44" t="n"/>
      <c r="M38" s="44" t="n"/>
      <c r="N38" s="45" t="n"/>
      <c r="O38" s="44" t="n"/>
      <c r="P38" s="44" t="n"/>
      <c r="Q38" s="44" t="n"/>
      <c r="R38" s="44" t="n"/>
      <c r="S38" s="44" t="n"/>
      <c r="T38" s="45" t="n"/>
      <c r="U38" s="44" t="n"/>
      <c r="V38" s="44" t="n"/>
      <c r="W38" s="44" t="n"/>
      <c r="X38" s="44" t="n"/>
      <c r="Y38" s="44" t="n"/>
      <c r="Z38" s="45" t="n"/>
      <c r="AA38" s="44" t="n"/>
      <c r="AB38" s="44" t="n"/>
      <c r="AC38" s="44" t="n"/>
      <c r="AD38" s="44" t="n"/>
      <c r="AE38" s="44" t="n"/>
      <c r="AF38" s="45" t="n"/>
      <c r="AG38" s="42" t="n">
        <v>2.5</v>
      </c>
      <c r="AH38" s="42">
        <f>COUNTIF(G38:AF38,"X")*30.0/60</f>
        <v/>
      </c>
      <c r="AI38" s="42">
        <f>AH38-AG38</f>
        <v/>
      </c>
    </row>
    <row r="39">
      <c r="A39" s="39" t="inlineStr">
        <is>
          <t>Falla de Tests</t>
        </is>
      </c>
      <c r="B39" s="40" t="inlineStr">
        <is>
          <t>Envio de Mail</t>
        </is>
      </c>
      <c r="C39" s="41" t="inlineStr">
        <is>
          <t>Pendiente de cargar (gap)</t>
        </is>
      </c>
      <c r="D39" s="42" t="inlineStr">
        <is>
          <t>A confirmar</t>
        </is>
      </c>
      <c r="E39" s="42" t="inlineStr">
        <is>
          <t>A confirmar</t>
        </is>
      </c>
      <c r="F39" s="43" t="inlineStr">
        <is>
          <t>No aplica este mes</t>
        </is>
      </c>
      <c r="G39" s="44" t="n"/>
      <c r="H39" s="44" t="n"/>
      <c r="I39" s="44" t="n"/>
      <c r="J39" s="44" t="n"/>
      <c r="K39" s="44" t="n"/>
      <c r="L39" s="44" t="n"/>
      <c r="M39" s="44" t="n"/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2" t="inlineStr">
        <is>
          <t>—</t>
        </is>
      </c>
      <c r="AH39" s="42">
        <f>COUNTIF(G39:AF39,"X")</f>
        <v/>
      </c>
      <c r="AI39" s="42" t="inlineStr">
        <is>
          <t>—</t>
        </is>
      </c>
    </row>
    <row r="40">
      <c r="A40" s="39" t="inlineStr">
        <is>
          <t>Falla de Tests</t>
        </is>
      </c>
      <c r="B40" s="40" t="inlineStr">
        <is>
          <t>Llamado a Clientes</t>
        </is>
      </c>
      <c r="C40" s="41" t="inlineStr">
        <is>
          <t>Pendiente de cargar (gap)</t>
        </is>
      </c>
      <c r="D40" s="42" t="inlineStr">
        <is>
          <t>A confirmar</t>
        </is>
      </c>
      <c r="E40" s="42" t="inlineStr">
        <is>
          <t>A confirmar</t>
        </is>
      </c>
      <c r="F40" s="43" t="inlineStr">
        <is>
          <t>No aplica este mes</t>
        </is>
      </c>
      <c r="G40" s="44" t="n"/>
      <c r="H40" s="44" t="n"/>
      <c r="I40" s="44" t="n"/>
      <c r="J40" s="44" t="n"/>
      <c r="K40" s="44" t="n"/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2" t="inlineStr">
        <is>
          <t>—</t>
        </is>
      </c>
      <c r="AH40" s="42">
        <f>COUNTIF(G40:AF40,"X")</f>
        <v/>
      </c>
      <c r="AI40" s="42" t="inlineStr">
        <is>
          <t>—</t>
        </is>
      </c>
    </row>
    <row r="41">
      <c r="A41" s="39" t="inlineStr">
        <is>
          <t>Falla de Tests</t>
        </is>
      </c>
      <c r="B41" s="40" t="inlineStr">
        <is>
          <t>Coordinacion de Servicios Tecnicos</t>
        </is>
      </c>
      <c r="C41" s="41" t="inlineStr">
        <is>
          <t>Falla de Test - Coordinacion con ST</t>
        </is>
      </c>
      <c r="D41" s="42" t="inlineStr">
        <is>
          <t>Diario</t>
        </is>
      </c>
      <c r="E41" s="42" t="n">
        <v>5</v>
      </c>
      <c r="F41" s="43" t="inlineStr">
        <is>
          <t>Fija</t>
        </is>
      </c>
      <c r="G41" s="44" t="n"/>
      <c r="H41" s="45" t="n"/>
      <c r="I41" s="44" t="n"/>
      <c r="J41" s="44" t="n"/>
      <c r="K41" s="44" t="n"/>
      <c r="L41" s="44" t="n"/>
      <c r="M41" s="44" t="n"/>
      <c r="N41" s="45" t="n"/>
      <c r="O41" s="44" t="n"/>
      <c r="P41" s="44" t="n"/>
      <c r="Q41" s="44" t="n"/>
      <c r="R41" s="44" t="n"/>
      <c r="S41" s="44" t="n"/>
      <c r="T41" s="45" t="n"/>
      <c r="U41" s="44" t="n"/>
      <c r="V41" s="44" t="n"/>
      <c r="W41" s="44" t="n"/>
      <c r="X41" s="44" t="n"/>
      <c r="Y41" s="44" t="n"/>
      <c r="Z41" s="45" t="n"/>
      <c r="AA41" s="44" t="n"/>
      <c r="AB41" s="44" t="n"/>
      <c r="AC41" s="44" t="n"/>
      <c r="AD41" s="44" t="n"/>
      <c r="AE41" s="44" t="n"/>
      <c r="AF41" s="45" t="n"/>
      <c r="AG41" s="42" t="n">
        <v>0.42</v>
      </c>
      <c r="AH41" s="42">
        <f>COUNTIF(G41:AF41,"X")*5.0/60</f>
        <v/>
      </c>
      <c r="AI41" s="42">
        <f>AH41-AG41</f>
        <v/>
      </c>
    </row>
    <row r="42">
      <c r="A42" s="39" t="inlineStr">
        <is>
          <t>Falla de Tests</t>
        </is>
      </c>
      <c r="B42" s="40" t="inlineStr">
        <is>
          <t>Seguimiento de Servicios Tecnicos</t>
        </is>
      </c>
      <c r="C42" s="41" t="inlineStr">
        <is>
          <t>Pendiente de cargar (gap)</t>
        </is>
      </c>
      <c r="D42" s="42" t="inlineStr">
        <is>
          <t>A confirmar</t>
        </is>
      </c>
      <c r="E42" s="42" t="inlineStr">
        <is>
          <t>A confirmar</t>
        </is>
      </c>
      <c r="F42" s="43" t="inlineStr">
        <is>
          <t>No aplica este mes</t>
        </is>
      </c>
      <c r="G42" s="44" t="n"/>
      <c r="H42" s="44" t="n"/>
      <c r="I42" s="44" t="n"/>
      <c r="J42" s="44" t="n"/>
      <c r="K42" s="44" t="n"/>
      <c r="L42" s="44" t="n"/>
      <c r="M42" s="44" t="n"/>
      <c r="N42" s="44" t="n"/>
      <c r="O42" s="44" t="n"/>
      <c r="P42" s="44" t="n"/>
      <c r="Q42" s="44" t="n"/>
      <c r="R42" s="44" t="n"/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2" t="inlineStr">
        <is>
          <t>—</t>
        </is>
      </c>
      <c r="AH42" s="42">
        <f>COUNTIF(G42:AF42,"X")</f>
        <v/>
      </c>
      <c r="AI42" s="42" t="inlineStr">
        <is>
          <t>—</t>
        </is>
      </c>
    </row>
    <row r="43">
      <c r="A43" s="39" t="inlineStr">
        <is>
          <t>Falla de Tests</t>
        </is>
      </c>
      <c r="B43" s="40" t="inlineStr">
        <is>
          <t>Analisis</t>
        </is>
      </c>
      <c r="C43" s="41" t="inlineStr">
        <is>
          <t>Falla de Test - Analisis</t>
        </is>
      </c>
      <c r="D43" s="42" t="inlineStr">
        <is>
          <t>Diario</t>
        </is>
      </c>
      <c r="E43" s="42" t="n">
        <v>60</v>
      </c>
      <c r="F43" s="43" t="inlineStr">
        <is>
          <t>Fija</t>
        </is>
      </c>
      <c r="G43" s="44" t="n"/>
      <c r="H43" s="45" t="n"/>
      <c r="I43" s="44" t="n"/>
      <c r="J43" s="44" t="n"/>
      <c r="K43" s="44" t="n"/>
      <c r="L43" s="44" t="n"/>
      <c r="M43" s="44" t="n"/>
      <c r="N43" s="45" t="n"/>
      <c r="O43" s="44" t="n"/>
      <c r="P43" s="44" t="n"/>
      <c r="Q43" s="44" t="n"/>
      <c r="R43" s="44" t="n"/>
      <c r="S43" s="44" t="n"/>
      <c r="T43" s="45" t="n"/>
      <c r="U43" s="44" t="n"/>
      <c r="V43" s="44" t="n"/>
      <c r="W43" s="44" t="n"/>
      <c r="X43" s="44" t="n"/>
      <c r="Y43" s="44" t="n"/>
      <c r="Z43" s="45" t="n"/>
      <c r="AA43" s="44" t="n"/>
      <c r="AB43" s="44" t="n"/>
      <c r="AC43" s="44" t="n"/>
      <c r="AD43" s="44" t="n"/>
      <c r="AE43" s="44" t="n"/>
      <c r="AF43" s="45" t="n"/>
      <c r="AG43" s="42" t="n">
        <v>5</v>
      </c>
      <c r="AH43" s="42">
        <f>COUNTIF(G43:AF43,"X")*60.0/60</f>
        <v/>
      </c>
      <c r="AI43" s="42">
        <f>AH43-AG43</f>
        <v/>
      </c>
    </row>
    <row r="44">
      <c r="A44" s="37" t="inlineStr">
        <is>
          <t>Offline (Martes)</t>
        </is>
      </c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38" t="n"/>
      <c r="L44" s="38" t="n"/>
      <c r="M44" s="38" t="n"/>
      <c r="N44" s="38" t="n"/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38" t="n"/>
      <c r="Y44" s="38" t="n"/>
      <c r="Z44" s="38" t="n"/>
      <c r="AA44" s="38" t="n"/>
      <c r="AB44" s="38" t="n"/>
      <c r="AC44" s="38" t="n"/>
      <c r="AD44" s="38" t="n"/>
      <c r="AE44" s="38" t="n"/>
      <c r="AF44" s="38" t="n"/>
      <c r="AG44" s="38" t="n"/>
      <c r="AH44" s="38" t="n"/>
      <c r="AI44" s="38" t="n"/>
    </row>
    <row r="45">
      <c r="A45" s="39" t="inlineStr">
        <is>
          <t>Offline</t>
        </is>
      </c>
      <c r="B45" s="40" t="inlineStr">
        <is>
          <t>Instructivo General (documento vinculado)</t>
        </is>
      </c>
      <c r="C45" s="41" t="inlineStr">
        <is>
          <t>Offline - procedimiento general</t>
        </is>
      </c>
      <c r="D45" s="42" t="inlineStr">
        <is>
          <t>Semanal</t>
        </is>
      </c>
      <c r="E45" s="42" t="inlineStr">
        <is>
          <t>A confirmar</t>
        </is>
      </c>
      <c r="F45" s="43" t="inlineStr">
        <is>
          <t>Fija</t>
        </is>
      </c>
      <c r="G45" s="44" t="n"/>
      <c r="H45" s="44" t="n"/>
      <c r="I45" s="45" t="n"/>
      <c r="J45" s="44" t="n"/>
      <c r="K45" s="44" t="n"/>
      <c r="L45" s="44" t="n"/>
      <c r="M45" s="44" t="n"/>
      <c r="N45" s="44" t="n"/>
      <c r="O45" s="45" t="n"/>
      <c r="P45" s="44" t="n"/>
      <c r="Q45" s="44" t="n"/>
      <c r="R45" s="44" t="n"/>
      <c r="S45" s="44" t="n"/>
      <c r="T45" s="44" t="n"/>
      <c r="U45" s="45" t="n"/>
      <c r="V45" s="44" t="n"/>
      <c r="W45" s="44" t="n"/>
      <c r="X45" s="44" t="n"/>
      <c r="Y45" s="44" t="n"/>
      <c r="Z45" s="44" t="n"/>
      <c r="AA45" s="45" t="n"/>
      <c r="AB45" s="44" t="n"/>
      <c r="AC45" s="44" t="n"/>
      <c r="AD45" s="44" t="n"/>
      <c r="AE45" s="44" t="n"/>
      <c r="AF45" s="44" t="n"/>
      <c r="AG45" s="42" t="inlineStr">
        <is>
          <t>—</t>
        </is>
      </c>
      <c r="AH45" s="42">
        <f>COUNTIF(G45:AF45,"X")</f>
        <v/>
      </c>
      <c r="AI45" s="42" t="inlineStr">
        <is>
          <t>—</t>
        </is>
      </c>
    </row>
    <row r="46">
      <c r="A46" s="39" t="inlineStr">
        <is>
          <t>Offline</t>
        </is>
      </c>
      <c r="B46" s="40" t="inlineStr">
        <is>
          <t>Offline de las 4</t>
        </is>
      </c>
      <c r="C46" s="41" t="inlineStr">
        <is>
          <t>Pendiente de cargar (gap): informe, analisis, coordinacion ST, mail semanal, objetivo</t>
        </is>
      </c>
      <c r="D46" s="42" t="inlineStr">
        <is>
          <t>A confirmar</t>
        </is>
      </c>
      <c r="E46" s="42" t="inlineStr">
        <is>
          <t>A confirmar</t>
        </is>
      </c>
      <c r="F46" s="43" t="inlineStr">
        <is>
          <t>No aplica este mes</t>
        </is>
      </c>
      <c r="G46" s="44" t="n"/>
      <c r="H46" s="44" t="n"/>
      <c r="I46" s="44" t="n"/>
      <c r="J46" s="44" t="n"/>
      <c r="K46" s="44" t="n"/>
      <c r="L46" s="44" t="n"/>
      <c r="M46" s="44" t="n"/>
      <c r="N46" s="44" t="n"/>
      <c r="O46" s="44" t="n"/>
      <c r="P46" s="44" t="n"/>
      <c r="Q46" s="4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2" t="inlineStr">
        <is>
          <t>—</t>
        </is>
      </c>
      <c r="AH46" s="42">
        <f>COUNTIF(G46:AF46,"X")</f>
        <v/>
      </c>
      <c r="AI46" s="42" t="inlineStr">
        <is>
          <t>—</t>
        </is>
      </c>
    </row>
    <row r="47">
      <c r="A47" s="39" t="inlineStr">
        <is>
          <t>Offline</t>
        </is>
      </c>
      <c r="B47" s="40" t="inlineStr">
        <is>
          <t>Offline de las 7</t>
        </is>
      </c>
      <c r="C47" s="41" t="inlineStr">
        <is>
          <t>Pendiente de cargar (gap): informe, analisis, coordinacion ST, mail semanal, objetivo</t>
        </is>
      </c>
      <c r="D47" s="42" t="inlineStr">
        <is>
          <t>A confirmar</t>
        </is>
      </c>
      <c r="E47" s="42" t="inlineStr">
        <is>
          <t>A confirmar</t>
        </is>
      </c>
      <c r="F47" s="43" t="inlineStr">
        <is>
          <t>No aplica este mes</t>
        </is>
      </c>
      <c r="G47" s="44" t="n"/>
      <c r="H47" s="44" t="n"/>
      <c r="I47" s="44" t="n"/>
      <c r="J47" s="44" t="n"/>
      <c r="K47" s="44" t="n"/>
      <c r="L47" s="44" t="n"/>
      <c r="M47" s="44" t="n"/>
      <c r="N47" s="44" t="n"/>
      <c r="O47" s="44" t="n"/>
      <c r="P47" s="44" t="n"/>
      <c r="Q47" s="4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2" t="inlineStr">
        <is>
          <t>—</t>
        </is>
      </c>
      <c r="AH47" s="42">
        <f>COUNTIF(G47:AF47,"X")</f>
        <v/>
      </c>
      <c r="AI47" s="42" t="inlineStr">
        <is>
          <t>—</t>
        </is>
      </c>
    </row>
    <row r="48">
      <c r="A48" s="39" t="inlineStr">
        <is>
          <t>Offline</t>
        </is>
      </c>
      <c r="B48" s="40" t="inlineStr">
        <is>
          <t>Offline de las 11</t>
        </is>
      </c>
      <c r="C48" s="41" t="inlineStr">
        <is>
          <t>Pendiente de cargar (gap): informe, analisis, coordinacion ST, mail semanal, objetivo</t>
        </is>
      </c>
      <c r="D48" s="42" t="inlineStr">
        <is>
          <t>A confirmar</t>
        </is>
      </c>
      <c r="E48" s="42" t="inlineStr">
        <is>
          <t>A confirmar</t>
        </is>
      </c>
      <c r="F48" s="43" t="inlineStr">
        <is>
          <t>No aplica este mes</t>
        </is>
      </c>
      <c r="G48" s="44" t="n"/>
      <c r="H48" s="44" t="n"/>
      <c r="I48" s="44" t="n"/>
      <c r="J48" s="44" t="n"/>
      <c r="K48" s="44" t="n"/>
      <c r="L48" s="44" t="n"/>
      <c r="M48" s="44" t="n"/>
      <c r="N48" s="44" t="n"/>
      <c r="O48" s="44" t="n"/>
      <c r="P48" s="44" t="n"/>
      <c r="Q48" s="4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2" t="inlineStr">
        <is>
          <t>—</t>
        </is>
      </c>
      <c r="AH48" s="42">
        <f>COUNTIF(G48:AF48,"X")</f>
        <v/>
      </c>
      <c r="AI48" s="42" t="inlineStr">
        <is>
          <t>—</t>
        </is>
      </c>
    </row>
    <row r="49">
      <c r="A49" s="39" t="inlineStr">
        <is>
          <t>Offline</t>
        </is>
      </c>
      <c r="B49" s="40" t="inlineStr">
        <is>
          <t>Horario sin asignar (a confirmar cual de los 3)</t>
        </is>
      </c>
      <c r="C49" s="41" t="inlineStr">
        <is>
          <t>Offline - Analisis general</t>
        </is>
      </c>
      <c r="D49" s="42" t="inlineStr">
        <is>
          <t>Diario</t>
        </is>
      </c>
      <c r="E49" s="42" t="n">
        <v>30</v>
      </c>
      <c r="F49" s="43" t="inlineStr">
        <is>
          <t>Fija</t>
        </is>
      </c>
      <c r="G49" s="44" t="n"/>
      <c r="H49" s="44" t="n"/>
      <c r="I49" s="45" t="n"/>
      <c r="J49" s="44" t="n"/>
      <c r="K49" s="44" t="n"/>
      <c r="L49" s="44" t="n"/>
      <c r="M49" s="44" t="n"/>
      <c r="N49" s="44" t="n"/>
      <c r="O49" s="45" t="n"/>
      <c r="P49" s="44" t="n"/>
      <c r="Q49" s="44" t="n"/>
      <c r="R49" s="44" t="n"/>
      <c r="S49" s="44" t="n"/>
      <c r="T49" s="44" t="n"/>
      <c r="U49" s="45" t="n"/>
      <c r="V49" s="44" t="n"/>
      <c r="W49" s="44" t="n"/>
      <c r="X49" s="44" t="n"/>
      <c r="Y49" s="44" t="n"/>
      <c r="Z49" s="44" t="n"/>
      <c r="AA49" s="45" t="n"/>
      <c r="AB49" s="44" t="n"/>
      <c r="AC49" s="44" t="n"/>
      <c r="AD49" s="44" t="n"/>
      <c r="AE49" s="44" t="n"/>
      <c r="AF49" s="44" t="n"/>
      <c r="AG49" s="42" t="n">
        <v>2</v>
      </c>
      <c r="AH49" s="42">
        <f>COUNTIF(G49:AF49,"X")*30.0/60</f>
        <v/>
      </c>
      <c r="AI49" s="42">
        <f>AH49-AG49</f>
        <v/>
      </c>
    </row>
    <row r="50">
      <c r="A50" s="39" t="inlineStr">
        <is>
          <t>Offline</t>
        </is>
      </c>
      <c r="B50" s="40" t="inlineStr">
        <is>
          <t>Horario sin asignar (a confirmar cual de los 3)</t>
        </is>
      </c>
      <c r="C50" s="41" t="inlineStr">
        <is>
          <t>Offline - Coordinacion con ST</t>
        </is>
      </c>
      <c r="D50" s="42" t="inlineStr">
        <is>
          <t>Diario</t>
        </is>
      </c>
      <c r="E50" s="42" t="n">
        <v>5</v>
      </c>
      <c r="F50" s="43" t="inlineStr">
        <is>
          <t>Fija</t>
        </is>
      </c>
      <c r="G50" s="44" t="n"/>
      <c r="H50" s="44" t="n"/>
      <c r="I50" s="45" t="n"/>
      <c r="J50" s="44" t="n"/>
      <c r="K50" s="44" t="n"/>
      <c r="L50" s="44" t="n"/>
      <c r="M50" s="44" t="n"/>
      <c r="N50" s="44" t="n"/>
      <c r="O50" s="45" t="n"/>
      <c r="P50" s="44" t="n"/>
      <c r="Q50" s="44" t="n"/>
      <c r="R50" s="44" t="n"/>
      <c r="S50" s="44" t="n"/>
      <c r="T50" s="44" t="n"/>
      <c r="U50" s="45" t="n"/>
      <c r="V50" s="44" t="n"/>
      <c r="W50" s="44" t="n"/>
      <c r="X50" s="44" t="n"/>
      <c r="Y50" s="44" t="n"/>
      <c r="Z50" s="44" t="n"/>
      <c r="AA50" s="45" t="n"/>
      <c r="AB50" s="44" t="n"/>
      <c r="AC50" s="44" t="n"/>
      <c r="AD50" s="44" t="n"/>
      <c r="AE50" s="44" t="n"/>
      <c r="AF50" s="44" t="n"/>
      <c r="AG50" s="42" t="n">
        <v>0.33</v>
      </c>
      <c r="AH50" s="42">
        <f>COUNTIF(G50:AF50,"X")*5.0/60</f>
        <v/>
      </c>
      <c r="AI50" s="42">
        <f>AH50-AG50</f>
        <v/>
      </c>
    </row>
    <row r="51">
      <c r="A51" s="37" t="inlineStr">
        <is>
          <t>Redes (Miercoles)</t>
        </is>
      </c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  <c r="X51" s="38" t="n"/>
      <c r="Y51" s="38" t="n"/>
      <c r="Z51" s="38" t="n"/>
      <c r="AA51" s="38" t="n"/>
      <c r="AB51" s="38" t="n"/>
      <c r="AC51" s="38" t="n"/>
      <c r="AD51" s="38" t="n"/>
      <c r="AE51" s="38" t="n"/>
      <c r="AF51" s="38" t="n"/>
      <c r="AG51" s="38" t="n"/>
      <c r="AH51" s="38" t="n"/>
      <c r="AI51" s="38" t="n"/>
    </row>
    <row r="52">
      <c r="A52" s="39" t="inlineStr">
        <is>
          <t>Redes</t>
        </is>
      </c>
      <c r="B52" s="40" t="inlineStr">
        <is>
          <t>Telefonia IP</t>
        </is>
      </c>
      <c r="C52" s="41" t="inlineStr">
        <is>
          <t>Pendiente de desglose</t>
        </is>
      </c>
      <c r="D52" s="42" t="inlineStr">
        <is>
          <t>A confirmar</t>
        </is>
      </c>
      <c r="E52" s="42" t="inlineStr">
        <is>
          <t>A confirmar</t>
        </is>
      </c>
      <c r="F52" s="43" t="inlineStr">
        <is>
          <t>No aplica este mes</t>
        </is>
      </c>
      <c r="G52" s="44" t="n"/>
      <c r="H52" s="44" t="n"/>
      <c r="I52" s="44" t="n"/>
      <c r="J52" s="44" t="n"/>
      <c r="K52" s="44" t="n"/>
      <c r="L52" s="44" t="n"/>
      <c r="M52" s="44" t="n"/>
      <c r="N52" s="44" t="n"/>
      <c r="O52" s="44" t="n"/>
      <c r="P52" s="44" t="n"/>
      <c r="Q52" s="4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2" t="inlineStr">
        <is>
          <t>—</t>
        </is>
      </c>
      <c r="AH52" s="42">
        <f>COUNTIF(G52:AF52,"X")</f>
        <v/>
      </c>
      <c r="AI52" s="42" t="inlineStr">
        <is>
          <t>—</t>
        </is>
      </c>
    </row>
    <row r="53">
      <c r="A53" s="39" t="inlineStr">
        <is>
          <t>Redes</t>
        </is>
      </c>
      <c r="B53" s="40" t="inlineStr">
        <is>
          <t>Camaras IP</t>
        </is>
      </c>
      <c r="C53" s="41" t="inlineStr">
        <is>
          <t>Horario de Camaras</t>
        </is>
      </c>
      <c r="D53" s="42" t="inlineStr">
        <is>
          <t>Semanal</t>
        </is>
      </c>
      <c r="E53" s="42" t="n">
        <v>5</v>
      </c>
      <c r="F53" s="43" t="inlineStr">
        <is>
          <t>Fija</t>
        </is>
      </c>
      <c r="G53" s="44" t="n"/>
      <c r="H53" s="44" t="n"/>
      <c r="I53" s="44" t="n"/>
      <c r="J53" s="45" t="n"/>
      <c r="K53" s="44" t="n"/>
      <c r="L53" s="45" t="n"/>
      <c r="M53" s="44" t="n"/>
      <c r="N53" s="44" t="n"/>
      <c r="O53" s="44" t="n"/>
      <c r="P53" s="45" t="n"/>
      <c r="Q53" s="44" t="n"/>
      <c r="R53" s="45" t="n"/>
      <c r="S53" s="44" t="n"/>
      <c r="T53" s="44" t="n"/>
      <c r="U53" s="44" t="n"/>
      <c r="V53" s="45" t="n"/>
      <c r="W53" s="44" t="n"/>
      <c r="X53" s="45" t="n"/>
      <c r="Y53" s="44" t="n"/>
      <c r="Z53" s="44" t="n"/>
      <c r="AA53" s="44" t="n"/>
      <c r="AB53" s="45" t="n"/>
      <c r="AC53" s="44" t="n"/>
      <c r="AD53" s="45" t="n"/>
      <c r="AE53" s="44" t="n"/>
      <c r="AF53" s="44" t="n"/>
      <c r="AG53" s="42" t="n">
        <v>0.67</v>
      </c>
      <c r="AH53" s="42">
        <f>COUNTIF(G53:AF53,"X")*5.0/60</f>
        <v/>
      </c>
      <c r="AI53" s="42">
        <f>AH53-AG53</f>
        <v/>
      </c>
    </row>
    <row r="54">
      <c r="A54" s="39" t="inlineStr">
        <is>
          <t>Redes</t>
        </is>
      </c>
      <c r="B54" s="40" t="inlineStr">
        <is>
          <t>Computacion (todas las PCs)</t>
        </is>
      </c>
      <c r="C54" s="41" t="inlineStr">
        <is>
          <t>Norton (antivirus / seguridad)</t>
        </is>
      </c>
      <c r="D54" s="42" t="inlineStr">
        <is>
          <t>Trimestral</t>
        </is>
      </c>
      <c r="E54" s="42" t="n">
        <v>240</v>
      </c>
      <c r="F54" s="43" t="inlineStr">
        <is>
          <t>No aplica este mes</t>
        </is>
      </c>
      <c r="G54" s="44" t="n"/>
      <c r="H54" s="44" t="n"/>
      <c r="I54" s="44" t="n"/>
      <c r="J54" s="44" t="n"/>
      <c r="K54" s="44" t="n"/>
      <c r="L54" s="44" t="n"/>
      <c r="M54" s="44" t="n"/>
      <c r="N54" s="44" t="n"/>
      <c r="O54" s="44" t="n"/>
      <c r="P54" s="44" t="n"/>
      <c r="Q54" s="44" t="n"/>
      <c r="R54" s="44" t="n"/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  <c r="AE54" s="44" t="n"/>
      <c r="AF54" s="44" t="n"/>
      <c r="AG54" s="42" t="inlineStr">
        <is>
          <t>—</t>
        </is>
      </c>
      <c r="AH54" s="42">
        <f>COUNTIF(G54:AF54,"X")*240.0/60</f>
        <v/>
      </c>
      <c r="AI54" s="42" t="inlineStr">
        <is>
          <t>—</t>
        </is>
      </c>
    </row>
    <row r="55">
      <c r="A55" s="39" t="inlineStr">
        <is>
          <t>Redes</t>
        </is>
      </c>
      <c r="B55" s="40" t="inlineStr">
        <is>
          <t>Impresoras IP</t>
        </is>
      </c>
      <c r="C55" s="41" t="inlineStr">
        <is>
          <t>Pendiente de desglose</t>
        </is>
      </c>
      <c r="D55" s="42" t="inlineStr">
        <is>
          <t>A confirmar</t>
        </is>
      </c>
      <c r="E55" s="42" t="inlineStr">
        <is>
          <t>A confirmar</t>
        </is>
      </c>
      <c r="F55" s="43" t="inlineStr">
        <is>
          <t>No aplica este mes</t>
        </is>
      </c>
      <c r="G55" s="44" t="n"/>
      <c r="H55" s="44" t="n"/>
      <c r="I55" s="44" t="n"/>
      <c r="J55" s="44" t="n"/>
      <c r="K55" s="44" t="n"/>
      <c r="L55" s="44" t="n"/>
      <c r="M55" s="44" t="n"/>
      <c r="N55" s="44" t="n"/>
      <c r="O55" s="44" t="n"/>
      <c r="P55" s="44" t="n"/>
      <c r="Q55" s="44" t="n"/>
      <c r="R55" s="44" t="n"/>
      <c r="S55" s="44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B55" s="44" t="n"/>
      <c r="AC55" s="44" t="n"/>
      <c r="AD55" s="44" t="n"/>
      <c r="AE55" s="44" t="n"/>
      <c r="AF55" s="44" t="n"/>
      <c r="AG55" s="42" t="inlineStr">
        <is>
          <t>—</t>
        </is>
      </c>
      <c r="AH55" s="42">
        <f>COUNTIF(G55:AF55,"X")</f>
        <v/>
      </c>
      <c r="AI55" s="42" t="inlineStr">
        <is>
          <t>—</t>
        </is>
      </c>
    </row>
    <row r="56">
      <c r="A56" s="37" t="inlineStr">
        <is>
          <t>Stock (Viernes)</t>
        </is>
      </c>
      <c r="B56" s="38" t="n"/>
      <c r="C56" s="38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8" t="n"/>
      <c r="Z56" s="38" t="n"/>
      <c r="AA56" s="38" t="n"/>
      <c r="AB56" s="38" t="n"/>
      <c r="AC56" s="38" t="n"/>
      <c r="AD56" s="38" t="n"/>
      <c r="AE56" s="38" t="n"/>
      <c r="AF56" s="38" t="n"/>
      <c r="AG56" s="38" t="n"/>
      <c r="AH56" s="38" t="n"/>
      <c r="AI56" s="38" t="n"/>
    </row>
    <row r="57">
      <c r="A57" s="39" t="inlineStr">
        <is>
          <t>Stock</t>
        </is>
      </c>
      <c r="B57" s="40" t="inlineStr">
        <is>
          <t>Recepcion y Control de Stock Entrante</t>
        </is>
      </c>
      <c r="C57" s="41" t="inlineStr">
        <is>
          <t>Conteo de stock recibido</t>
        </is>
      </c>
      <c r="D57" s="42" t="inlineStr">
        <is>
          <t>Semanal</t>
        </is>
      </c>
      <c r="E57" s="42" t="n">
        <v>60</v>
      </c>
      <c r="F57" s="43" t="inlineStr">
        <is>
          <t>Fija</t>
        </is>
      </c>
      <c r="G57" s="44" t="n"/>
      <c r="H57" s="44" t="n"/>
      <c r="I57" s="44" t="n"/>
      <c r="J57" s="44" t="n"/>
      <c r="K57" s="44" t="n"/>
      <c r="L57" s="45" t="n"/>
      <c r="M57" s="44" t="n"/>
      <c r="N57" s="44" t="n"/>
      <c r="O57" s="44" t="n"/>
      <c r="P57" s="44" t="n"/>
      <c r="Q57" s="44" t="n"/>
      <c r="R57" s="45" t="n"/>
      <c r="S57" s="44" t="n"/>
      <c r="T57" s="44" t="n"/>
      <c r="U57" s="44" t="n"/>
      <c r="V57" s="44" t="n"/>
      <c r="W57" s="44" t="n"/>
      <c r="X57" s="45" t="n"/>
      <c r="Y57" s="44" t="n"/>
      <c r="Z57" s="44" t="n"/>
      <c r="AA57" s="44" t="n"/>
      <c r="AB57" s="44" t="n"/>
      <c r="AC57" s="44" t="n"/>
      <c r="AD57" s="45" t="n"/>
      <c r="AE57" s="44" t="n"/>
      <c r="AF57" s="44" t="n"/>
      <c r="AG57" s="42" t="n">
        <v>4</v>
      </c>
      <c r="AH57" s="42">
        <f>COUNTIF(G57:AF57,"X")*60.0/60</f>
        <v/>
      </c>
      <c r="AI57" s="42">
        <f>AH57-AG57</f>
        <v/>
      </c>
    </row>
    <row r="58">
      <c r="A58" s="39" t="inlineStr">
        <is>
          <t>Stock</t>
        </is>
      </c>
      <c r="B58" s="40" t="inlineStr">
        <is>
          <t>Recepcion y Control de Stock Entrante</t>
        </is>
      </c>
      <c r="C58" s="41" t="inlineStr">
        <is>
          <t>Control de stock recibido</t>
        </is>
      </c>
      <c r="D58" s="42" t="inlineStr">
        <is>
          <t>Semanal</t>
        </is>
      </c>
      <c r="E58" s="42" t="n">
        <v>90</v>
      </c>
      <c r="F58" s="43" t="inlineStr">
        <is>
          <t>Fija</t>
        </is>
      </c>
      <c r="G58" s="44" t="n"/>
      <c r="H58" s="44" t="n"/>
      <c r="I58" s="44" t="n"/>
      <c r="J58" s="44" t="n"/>
      <c r="K58" s="44" t="n"/>
      <c r="L58" s="45" t="n"/>
      <c r="M58" s="44" t="n"/>
      <c r="N58" s="44" t="n"/>
      <c r="O58" s="44" t="n"/>
      <c r="P58" s="44" t="n"/>
      <c r="Q58" s="44" t="n"/>
      <c r="R58" s="45" t="n"/>
      <c r="S58" s="44" t="n"/>
      <c r="T58" s="44" t="n"/>
      <c r="U58" s="44" t="n"/>
      <c r="V58" s="44" t="n"/>
      <c r="W58" s="44" t="n"/>
      <c r="X58" s="45" t="n"/>
      <c r="Y58" s="44" t="n"/>
      <c r="Z58" s="44" t="n"/>
      <c r="AA58" s="44" t="n"/>
      <c r="AB58" s="44" t="n"/>
      <c r="AC58" s="44" t="n"/>
      <c r="AD58" s="45" t="n"/>
      <c r="AE58" s="44" t="n"/>
      <c r="AF58" s="44" t="n"/>
      <c r="AG58" s="42" t="n">
        <v>6</v>
      </c>
      <c r="AH58" s="42">
        <f>COUNTIF(G58:AF58,"X")*90.0/60</f>
        <v/>
      </c>
      <c r="AI58" s="42">
        <f>AH58-AG58</f>
        <v/>
      </c>
    </row>
    <row r="59">
      <c r="A59" s="39" t="inlineStr">
        <is>
          <t>Stock</t>
        </is>
      </c>
      <c r="B59" s="40" t="inlineStr">
        <is>
          <t>Recepcion y Control de Stock Entrante</t>
        </is>
      </c>
      <c r="C59" s="41" t="inlineStr">
        <is>
          <t>Sellado y etiquetado de stock recibido</t>
        </is>
      </c>
      <c r="D59" s="42" t="inlineStr">
        <is>
          <t>Semanal</t>
        </is>
      </c>
      <c r="E59" s="42" t="n">
        <v>90</v>
      </c>
      <c r="F59" s="43" t="inlineStr">
        <is>
          <t>Fija</t>
        </is>
      </c>
      <c r="G59" s="44" t="n"/>
      <c r="H59" s="44" t="n"/>
      <c r="I59" s="44" t="n"/>
      <c r="J59" s="44" t="n"/>
      <c r="K59" s="44" t="n"/>
      <c r="L59" s="45" t="n"/>
      <c r="M59" s="44" t="n"/>
      <c r="N59" s="44" t="n"/>
      <c r="O59" s="44" t="n"/>
      <c r="P59" s="44" t="n"/>
      <c r="Q59" s="44" t="n"/>
      <c r="R59" s="45" t="n"/>
      <c r="S59" s="44" t="n"/>
      <c r="T59" s="44" t="n"/>
      <c r="U59" s="44" t="n"/>
      <c r="V59" s="44" t="n"/>
      <c r="W59" s="44" t="n"/>
      <c r="X59" s="45" t="n"/>
      <c r="Y59" s="44" t="n"/>
      <c r="Z59" s="44" t="n"/>
      <c r="AA59" s="44" t="n"/>
      <c r="AB59" s="44" t="n"/>
      <c r="AC59" s="44" t="n"/>
      <c r="AD59" s="45" t="n"/>
      <c r="AE59" s="44" t="n"/>
      <c r="AF59" s="44" t="n"/>
      <c r="AG59" s="42" t="n">
        <v>6</v>
      </c>
      <c r="AH59" s="42">
        <f>COUNTIF(G59:AF59,"X")*90.0/60</f>
        <v/>
      </c>
      <c r="AI59" s="42">
        <f>AH59-AG59</f>
        <v/>
      </c>
    </row>
    <row r="60">
      <c r="A60" s="39" t="inlineStr">
        <is>
          <t>Stock</t>
        </is>
      </c>
      <c r="B60" s="40" t="inlineStr">
        <is>
          <t>Recepcion y Control de Stock Entrante</t>
        </is>
      </c>
      <c r="C60" s="41" t="inlineStr">
        <is>
          <t>Almacenamiento de stock recibido</t>
        </is>
      </c>
      <c r="D60" s="42" t="inlineStr">
        <is>
          <t>Semanal</t>
        </is>
      </c>
      <c r="E60" s="42" t="n">
        <v>90</v>
      </c>
      <c r="F60" s="43" t="inlineStr">
        <is>
          <t>Fija</t>
        </is>
      </c>
      <c r="G60" s="44" t="n"/>
      <c r="H60" s="44" t="n"/>
      <c r="I60" s="44" t="n"/>
      <c r="J60" s="44" t="n"/>
      <c r="K60" s="44" t="n"/>
      <c r="L60" s="45" t="n"/>
      <c r="M60" s="44" t="n"/>
      <c r="N60" s="44" t="n"/>
      <c r="O60" s="44" t="n"/>
      <c r="P60" s="44" t="n"/>
      <c r="Q60" s="44" t="n"/>
      <c r="R60" s="45" t="n"/>
      <c r="S60" s="44" t="n"/>
      <c r="T60" s="44" t="n"/>
      <c r="U60" s="44" t="n"/>
      <c r="V60" s="44" t="n"/>
      <c r="W60" s="44" t="n"/>
      <c r="X60" s="45" t="n"/>
      <c r="Y60" s="44" t="n"/>
      <c r="Z60" s="44" t="n"/>
      <c r="AA60" s="44" t="n"/>
      <c r="AB60" s="44" t="n"/>
      <c r="AC60" s="44" t="n"/>
      <c r="AD60" s="45" t="n"/>
      <c r="AE60" s="44" t="n"/>
      <c r="AF60" s="44" t="n"/>
      <c r="AG60" s="42" t="n">
        <v>6</v>
      </c>
      <c r="AH60" s="42">
        <f>COUNTIF(G60:AF60,"X")*90.0/60</f>
        <v/>
      </c>
      <c r="AI60" s="42">
        <f>AH60-AG60</f>
        <v/>
      </c>
    </row>
    <row r="61">
      <c r="A61" s="39" t="inlineStr">
        <is>
          <t>Stock</t>
        </is>
      </c>
      <c r="B61" s="40" t="inlineStr">
        <is>
          <t>Gestion de Insumos</t>
        </is>
      </c>
      <c r="C61" s="41" t="inlineStr">
        <is>
          <t>Conteo de insumos (limpieza)</t>
        </is>
      </c>
      <c r="D61" s="42" t="inlineStr">
        <is>
          <t>Mensual</t>
        </is>
      </c>
      <c r="E61" s="42" t="n">
        <v>10</v>
      </c>
      <c r="F61" s="43" t="inlineStr">
        <is>
          <t>Fija</t>
        </is>
      </c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44" t="n"/>
      <c r="Q61" s="44" t="n"/>
      <c r="R61" s="44" t="n"/>
      <c r="S61" s="44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5" t="n"/>
      <c r="AC61" s="44" t="n"/>
      <c r="AD61" s="44" t="n"/>
      <c r="AE61" s="44" t="n"/>
      <c r="AF61" s="44" t="n"/>
      <c r="AG61" s="42" t="n">
        <v>0.17</v>
      </c>
      <c r="AH61" s="42">
        <f>COUNTIF(G61:AF61,"X")*10.0/60</f>
        <v/>
      </c>
      <c r="AI61" s="42">
        <f>AH61-AG61</f>
        <v/>
      </c>
    </row>
    <row r="62">
      <c r="A62" s="39" t="inlineStr">
        <is>
          <t>Stock</t>
        </is>
      </c>
      <c r="B62" s="40" t="inlineStr">
        <is>
          <t>Gestion de Insumos</t>
        </is>
      </c>
      <c r="C62" s="41" t="inlineStr">
        <is>
          <t>Solicitud de insumos (limpieza)</t>
        </is>
      </c>
      <c r="D62" s="42" t="inlineStr">
        <is>
          <t>Mensual</t>
        </is>
      </c>
      <c r="E62" s="42" t="inlineStr">
        <is>
          <t>A confirmar</t>
        </is>
      </c>
      <c r="F62" s="43" t="inlineStr">
        <is>
          <t>Fija</t>
        </is>
      </c>
      <c r="G62" s="44" t="n"/>
      <c r="H62" s="44" t="n"/>
      <c r="I62" s="44" t="n"/>
      <c r="J62" s="44" t="n"/>
      <c r="K62" s="44" t="n"/>
      <c r="L62" s="44" t="n"/>
      <c r="M62" s="44" t="n"/>
      <c r="N62" s="44" t="n"/>
      <c r="O62" s="44" t="n"/>
      <c r="P62" s="44" t="n"/>
      <c r="Q62" s="44" t="n"/>
      <c r="R62" s="44" t="n"/>
      <c r="S62" s="44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B62" s="45" t="n"/>
      <c r="AC62" s="44" t="n"/>
      <c r="AD62" s="44" t="n"/>
      <c r="AE62" s="44" t="n"/>
      <c r="AF62" s="44" t="n"/>
      <c r="AG62" s="42" t="inlineStr">
        <is>
          <t>—</t>
        </is>
      </c>
      <c r="AH62" s="42">
        <f>COUNTIF(G62:AF62,"X")</f>
        <v/>
      </c>
      <c r="AI62" s="42" t="inlineStr">
        <is>
          <t>—</t>
        </is>
      </c>
    </row>
    <row r="63">
      <c r="A63" s="39" t="inlineStr">
        <is>
          <t>Stock</t>
        </is>
      </c>
      <c r="B63" s="40" t="inlineStr">
        <is>
          <t>Gestion de Insumos</t>
        </is>
      </c>
      <c r="C63" s="41" t="inlineStr">
        <is>
          <t>Conteo de insumos (cocina)</t>
        </is>
      </c>
      <c r="D63" s="42" t="inlineStr">
        <is>
          <t>Mensual</t>
        </is>
      </c>
      <c r="E63" s="42" t="n">
        <v>10</v>
      </c>
      <c r="F63" s="43" t="inlineStr">
        <is>
          <t>Fija</t>
        </is>
      </c>
      <c r="G63" s="44" t="n"/>
      <c r="H63" s="44" t="n"/>
      <c r="I63" s="44" t="n"/>
      <c r="J63" s="44" t="n"/>
      <c r="K63" s="44" t="n"/>
      <c r="L63" s="44" t="n"/>
      <c r="M63" s="44" t="n"/>
      <c r="N63" s="44" t="n"/>
      <c r="O63" s="44" t="n"/>
      <c r="P63" s="44" t="n"/>
      <c r="Q63" s="44" t="n"/>
      <c r="R63" s="44" t="n"/>
      <c r="S63" s="44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5" t="n"/>
      <c r="AC63" s="44" t="n"/>
      <c r="AD63" s="44" t="n"/>
      <c r="AE63" s="44" t="n"/>
      <c r="AF63" s="44" t="n"/>
      <c r="AG63" s="42" t="n">
        <v>0.17</v>
      </c>
      <c r="AH63" s="42">
        <f>COUNTIF(G63:AF63,"X")*10.0/60</f>
        <v/>
      </c>
      <c r="AI63" s="42">
        <f>AH63-AG63</f>
        <v/>
      </c>
    </row>
    <row r="64">
      <c r="A64" s="39" t="inlineStr">
        <is>
          <t>Stock</t>
        </is>
      </c>
      <c r="B64" s="40" t="inlineStr">
        <is>
          <t>Gestion de Insumos</t>
        </is>
      </c>
      <c r="C64" s="41" t="inlineStr">
        <is>
          <t>Compra de insumos (cocina)</t>
        </is>
      </c>
      <c r="D64" s="42" t="inlineStr">
        <is>
          <t>Mensual</t>
        </is>
      </c>
      <c r="E64" s="42" t="inlineStr">
        <is>
          <t>A confirmar</t>
        </is>
      </c>
      <c r="F64" s="43" t="inlineStr">
        <is>
          <t>Fija</t>
        </is>
      </c>
      <c r="G64" s="44" t="n"/>
      <c r="H64" s="44" t="n"/>
      <c r="I64" s="44" t="n"/>
      <c r="J64" s="44" t="n"/>
      <c r="K64" s="44" t="n"/>
      <c r="L64" s="44" t="n"/>
      <c r="M64" s="44" t="n"/>
      <c r="N64" s="44" t="n"/>
      <c r="O64" s="44" t="n"/>
      <c r="P64" s="44" t="n"/>
      <c r="Q64" s="44" t="n"/>
      <c r="R64" s="44" t="n"/>
      <c r="S64" s="44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5" t="n"/>
      <c r="AC64" s="44" t="n"/>
      <c r="AD64" s="44" t="n"/>
      <c r="AE64" s="44" t="n"/>
      <c r="AF64" s="44" t="n"/>
      <c r="AG64" s="42" t="inlineStr">
        <is>
          <t>—</t>
        </is>
      </c>
      <c r="AH64" s="42">
        <f>COUNTIF(G64:AF64,"X")</f>
        <v/>
      </c>
      <c r="AI64" s="42" t="inlineStr">
        <is>
          <t>—</t>
        </is>
      </c>
    </row>
    <row r="65">
      <c r="A65" s="39" t="inlineStr">
        <is>
          <t>Stock</t>
        </is>
      </c>
      <c r="B65" s="40" t="inlineStr">
        <is>
          <t>Gestion de Insumos</t>
        </is>
      </c>
      <c r="C65" s="41" t="inlineStr">
        <is>
          <t>Conteo de insumos (libreria)</t>
        </is>
      </c>
      <c r="D65" s="42" t="inlineStr">
        <is>
          <t>Mensual</t>
        </is>
      </c>
      <c r="E65" s="42" t="n">
        <v>10</v>
      </c>
      <c r="F65" s="43" t="inlineStr">
        <is>
          <t>Fija</t>
        </is>
      </c>
      <c r="G65" s="44" t="n"/>
      <c r="H65" s="44" t="n"/>
      <c r="I65" s="44" t="n"/>
      <c r="J65" s="44" t="n"/>
      <c r="K65" s="44" t="n"/>
      <c r="L65" s="44" t="n"/>
      <c r="M65" s="44" t="n"/>
      <c r="N65" s="44" t="n"/>
      <c r="O65" s="44" t="n"/>
      <c r="P65" s="44" t="n"/>
      <c r="Q65" s="44" t="n"/>
      <c r="R65" s="44" t="n"/>
      <c r="S65" s="44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5" t="n"/>
      <c r="AC65" s="44" t="n"/>
      <c r="AD65" s="44" t="n"/>
      <c r="AE65" s="44" t="n"/>
      <c r="AF65" s="44" t="n"/>
      <c r="AG65" s="42" t="n">
        <v>0.17</v>
      </c>
      <c r="AH65" s="42">
        <f>COUNTIF(G65:AF65,"X")*10.0/60</f>
        <v/>
      </c>
      <c r="AI65" s="42">
        <f>AH65-AG65</f>
        <v/>
      </c>
    </row>
    <row r="66">
      <c r="A66" s="39" t="inlineStr">
        <is>
          <t>Stock</t>
        </is>
      </c>
      <c r="B66" s="40" t="inlineStr">
        <is>
          <t>Gestion de Insumos</t>
        </is>
      </c>
      <c r="C66" s="41" t="inlineStr">
        <is>
          <t>Solicitud de insumos (libreria)</t>
        </is>
      </c>
      <c r="D66" s="42" t="inlineStr">
        <is>
          <t>Mensual</t>
        </is>
      </c>
      <c r="E66" s="42" t="n">
        <v>20</v>
      </c>
      <c r="F66" s="43" t="inlineStr">
        <is>
          <t>Fija</t>
        </is>
      </c>
      <c r="G66" s="44" t="n"/>
      <c r="H66" s="44" t="n"/>
      <c r="I66" s="44" t="n"/>
      <c r="J66" s="44" t="n"/>
      <c r="K66" s="44" t="n"/>
      <c r="L66" s="44" t="n"/>
      <c r="M66" s="44" t="n"/>
      <c r="N66" s="44" t="n"/>
      <c r="O66" s="44" t="n"/>
      <c r="P66" s="44" t="n"/>
      <c r="Q66" s="44" t="n"/>
      <c r="R66" s="44" t="n"/>
      <c r="S66" s="44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5" t="n"/>
      <c r="AC66" s="44" t="n"/>
      <c r="AD66" s="44" t="n"/>
      <c r="AE66" s="44" t="n"/>
      <c r="AF66" s="44" t="n"/>
      <c r="AG66" s="42" t="n">
        <v>0.33</v>
      </c>
      <c r="AH66" s="42">
        <f>COUNTIF(G66:AF66,"X")*20.0/60</f>
        <v/>
      </c>
      <c r="AI66" s="42">
        <f>AH66-AG66</f>
        <v/>
      </c>
    </row>
    <row r="67">
      <c r="A67" s="39" t="inlineStr">
        <is>
          <t>Stock</t>
        </is>
      </c>
      <c r="B67" s="40" t="inlineStr">
        <is>
          <t>Gestion de Insumos</t>
        </is>
      </c>
      <c r="C67" s="41" t="inlineStr">
        <is>
          <t>Conteo de insumos (botiquin)</t>
        </is>
      </c>
      <c r="D67" s="42" t="inlineStr">
        <is>
          <t>Mensual</t>
        </is>
      </c>
      <c r="E67" s="42" t="n">
        <v>10</v>
      </c>
      <c r="F67" s="43" t="inlineStr">
        <is>
          <t>Fija</t>
        </is>
      </c>
      <c r="G67" s="44" t="n"/>
      <c r="H67" s="44" t="n"/>
      <c r="I67" s="44" t="n"/>
      <c r="J67" s="44" t="n"/>
      <c r="K67" s="44" t="n"/>
      <c r="L67" s="44" t="n"/>
      <c r="M67" s="44" t="n"/>
      <c r="N67" s="44" t="n"/>
      <c r="O67" s="44" t="n"/>
      <c r="P67" s="44" t="n"/>
      <c r="Q67" s="44" t="n"/>
      <c r="R67" s="44" t="n"/>
      <c r="S67" s="44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B67" s="45" t="n"/>
      <c r="AC67" s="44" t="n"/>
      <c r="AD67" s="44" t="n"/>
      <c r="AE67" s="44" t="n"/>
      <c r="AF67" s="44" t="n"/>
      <c r="AG67" s="42" t="n">
        <v>0.17</v>
      </c>
      <c r="AH67" s="42">
        <f>COUNTIF(G67:AF67,"X")*10.0/60</f>
        <v/>
      </c>
      <c r="AI67" s="42">
        <f>AH67-AG67</f>
        <v/>
      </c>
    </row>
    <row r="68">
      <c r="A68" s="39" t="inlineStr">
        <is>
          <t>Stock</t>
        </is>
      </c>
      <c r="B68" s="40" t="inlineStr">
        <is>
          <t>Gestion de Insumos</t>
        </is>
      </c>
      <c r="C68" s="41" t="inlineStr">
        <is>
          <t>Solicitud de insumos (botiquin)</t>
        </is>
      </c>
      <c r="D68" s="42" t="inlineStr">
        <is>
          <t>Mensual</t>
        </is>
      </c>
      <c r="E68" s="42" t="n">
        <v>20</v>
      </c>
      <c r="F68" s="43" t="inlineStr">
        <is>
          <t>Fija</t>
        </is>
      </c>
      <c r="G68" s="44" t="n"/>
      <c r="H68" s="44" t="n"/>
      <c r="I68" s="44" t="n"/>
      <c r="J68" s="44" t="n"/>
      <c r="K68" s="44" t="n"/>
      <c r="L68" s="44" t="n"/>
      <c r="M68" s="44" t="n"/>
      <c r="N68" s="44" t="n"/>
      <c r="O68" s="44" t="n"/>
      <c r="P68" s="44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5" t="n"/>
      <c r="AC68" s="44" t="n"/>
      <c r="AD68" s="44" t="n"/>
      <c r="AE68" s="44" t="n"/>
      <c r="AF68" s="44" t="n"/>
      <c r="AG68" s="42" t="n">
        <v>0.33</v>
      </c>
      <c r="AH68" s="42">
        <f>COUNTIF(G68:AF68,"X")*20.0/60</f>
        <v/>
      </c>
      <c r="AI68" s="42">
        <f>AH68-AG68</f>
        <v/>
      </c>
    </row>
    <row r="69">
      <c r="A69" s="39" t="inlineStr">
        <is>
          <t>Stock</t>
        </is>
      </c>
      <c r="B69" s="40" t="inlineStr">
        <is>
          <t>Gestion de Insumos</t>
        </is>
      </c>
      <c r="C69" s="41" t="inlineStr">
        <is>
          <t>Cargar facturas de insumos</t>
        </is>
      </c>
      <c r="D69" s="42" t="inlineStr">
        <is>
          <t>Semanal</t>
        </is>
      </c>
      <c r="E69" s="42" t="n">
        <v>30</v>
      </c>
      <c r="F69" s="43" t="inlineStr">
        <is>
          <t>Fija</t>
        </is>
      </c>
      <c r="G69" s="44" t="n"/>
      <c r="H69" s="44" t="n"/>
      <c r="I69" s="44" t="n"/>
      <c r="J69" s="44" t="n"/>
      <c r="K69" s="45" t="n"/>
      <c r="L69" s="45" t="n"/>
      <c r="M69" s="44" t="n"/>
      <c r="N69" s="44" t="n"/>
      <c r="O69" s="44" t="n"/>
      <c r="P69" s="44" t="n"/>
      <c r="Q69" s="45" t="n"/>
      <c r="R69" s="45" t="n"/>
      <c r="S69" s="44" t="n"/>
      <c r="T69" s="44" t="n"/>
      <c r="U69" s="44" t="n"/>
      <c r="V69" s="44" t="n"/>
      <c r="W69" s="45" t="n"/>
      <c r="X69" s="45" t="n"/>
      <c r="Y69" s="44" t="n"/>
      <c r="Z69" s="44" t="n"/>
      <c r="AA69" s="44" t="n"/>
      <c r="AB69" s="44" t="n"/>
      <c r="AC69" s="45" t="n"/>
      <c r="AD69" s="45" t="n"/>
      <c r="AE69" s="44" t="n"/>
      <c r="AF69" s="44" t="n"/>
      <c r="AG69" s="42" t="n">
        <v>4</v>
      </c>
      <c r="AH69" s="42">
        <f>COUNTIF(G69:AF69,"X")*30.0/60</f>
        <v/>
      </c>
      <c r="AI69" s="42">
        <f>AH69-AG69</f>
        <v/>
      </c>
    </row>
    <row r="70">
      <c r="A70" s="39" t="inlineStr">
        <is>
          <t>Stock</t>
        </is>
      </c>
      <c r="B70" s="40" t="inlineStr">
        <is>
          <t>Impresion de Documentacion</t>
        </is>
      </c>
      <c r="C70" s="41" t="inlineStr">
        <is>
          <t>Impresion de Remito (egreso de equipos)</t>
        </is>
      </c>
      <c r="D70" s="42" t="inlineStr">
        <is>
          <t>Mensual (ideal: bimestral/trimestral)</t>
        </is>
      </c>
      <c r="E70" s="42" t="n">
        <v>60</v>
      </c>
      <c r="F70" s="43" t="inlineStr">
        <is>
          <t>Fija</t>
        </is>
      </c>
      <c r="G70" s="45" t="n"/>
      <c r="H70" s="44" t="n"/>
      <c r="I70" s="44" t="n"/>
      <c r="J70" s="44" t="n"/>
      <c r="K70" s="44" t="n"/>
      <c r="L70" s="44" t="n"/>
      <c r="M70" s="44" t="n"/>
      <c r="N70" s="44" t="n"/>
      <c r="O70" s="44" t="n"/>
      <c r="P70" s="44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  <c r="AE70" s="44" t="n"/>
      <c r="AF70" s="44" t="n"/>
      <c r="AG70" s="42" t="n">
        <v>1</v>
      </c>
      <c r="AH70" s="42">
        <f>COUNTIF(G70:AF70,"X")*60.0/60</f>
        <v/>
      </c>
      <c r="AI70" s="42">
        <f>AH70-AG70</f>
        <v/>
      </c>
    </row>
    <row r="71">
      <c r="A71" s="39" t="inlineStr">
        <is>
          <t>Stock</t>
        </is>
      </c>
      <c r="B71" s="40" t="inlineStr">
        <is>
          <t>Impresion de Documentacion</t>
        </is>
      </c>
      <c r="C71" s="41" t="inlineStr">
        <is>
          <t>Impresion de Entrega de Instalacion</t>
        </is>
      </c>
      <c r="D71" s="42" t="inlineStr">
        <is>
          <t>A confirmar</t>
        </is>
      </c>
      <c r="E71" s="42" t="inlineStr">
        <is>
          <t>A confirmar</t>
        </is>
      </c>
      <c r="F71" s="43" t="inlineStr">
        <is>
          <t>No aplica este mes</t>
        </is>
      </c>
      <c r="G71" s="44" t="n"/>
      <c r="H71" s="44" t="n"/>
      <c r="I71" s="44" t="n"/>
      <c r="J71" s="44" t="n"/>
      <c r="K71" s="44" t="n"/>
      <c r="L71" s="44" t="n"/>
      <c r="M71" s="44" t="n"/>
      <c r="N71" s="44" t="n"/>
      <c r="O71" s="44" t="n"/>
      <c r="P71" s="44" t="n"/>
      <c r="Q71" s="44" t="n"/>
      <c r="R71" s="44" t="n"/>
      <c r="S71" s="44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  <c r="AE71" s="44" t="n"/>
      <c r="AF71" s="44" t="n"/>
      <c r="AG71" s="42" t="inlineStr">
        <is>
          <t>—</t>
        </is>
      </c>
      <c r="AH71" s="42">
        <f>COUNTIF(G71:AF71,"X")</f>
        <v/>
      </c>
      <c r="AI71" s="42" t="inlineStr">
        <is>
          <t>—</t>
        </is>
      </c>
    </row>
    <row r="72">
      <c r="A72" s="39" t="inlineStr">
        <is>
          <t>Stock</t>
        </is>
      </c>
      <c r="B72" s="40" t="inlineStr">
        <is>
          <t>Impresion de Documentacion</t>
        </is>
      </c>
      <c r="C72" s="41" t="inlineStr">
        <is>
          <t>Impresion de Directivas Tecnicas</t>
        </is>
      </c>
      <c r="D72" s="42" t="inlineStr">
        <is>
          <t>A confirmar</t>
        </is>
      </c>
      <c r="E72" s="42" t="inlineStr">
        <is>
          <t>A confirmar</t>
        </is>
      </c>
      <c r="F72" s="43" t="inlineStr">
        <is>
          <t>No aplica este mes</t>
        </is>
      </c>
      <c r="G72" s="44" t="n"/>
      <c r="H72" s="44" t="n"/>
      <c r="I72" s="44" t="n"/>
      <c r="J72" s="44" t="n"/>
      <c r="K72" s="44" t="n"/>
      <c r="L72" s="44" t="n"/>
      <c r="M72" s="44" t="n"/>
      <c r="N72" s="44" t="n"/>
      <c r="O72" s="44" t="n"/>
      <c r="P72" s="44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4" t="n"/>
      <c r="AE72" s="44" t="n"/>
      <c r="AF72" s="44" t="n"/>
      <c r="AG72" s="42" t="inlineStr">
        <is>
          <t>—</t>
        </is>
      </c>
      <c r="AH72" s="42">
        <f>COUNTIF(G72:AF72,"X")</f>
        <v/>
      </c>
      <c r="AI72" s="42" t="inlineStr">
        <is>
          <t>—</t>
        </is>
      </c>
    </row>
    <row r="73">
      <c r="A73" s="39" t="inlineStr">
        <is>
          <t>Stock</t>
        </is>
      </c>
      <c r="B73" s="40" t="inlineStr">
        <is>
          <t>Impresion de Documentacion</t>
        </is>
      </c>
      <c r="C73" s="41" t="inlineStr">
        <is>
          <t>Impresion de Relevamientos</t>
        </is>
      </c>
      <c r="D73" s="42" t="inlineStr">
        <is>
          <t>A confirmar</t>
        </is>
      </c>
      <c r="E73" s="42" t="inlineStr">
        <is>
          <t>A confirmar</t>
        </is>
      </c>
      <c r="F73" s="43" t="inlineStr">
        <is>
          <t>No aplica este mes</t>
        </is>
      </c>
      <c r="G73" s="44" t="n"/>
      <c r="H73" s="44" t="n"/>
      <c r="I73" s="44" t="n"/>
      <c r="J73" s="44" t="n"/>
      <c r="K73" s="44" t="n"/>
      <c r="L73" s="44" t="n"/>
      <c r="M73" s="44" t="n"/>
      <c r="N73" s="44" t="n"/>
      <c r="O73" s="44" t="n"/>
      <c r="P73" s="44" t="n"/>
      <c r="Q73" s="44" t="n"/>
      <c r="R73" s="44" t="n"/>
      <c r="S73" s="44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  <c r="AE73" s="44" t="n"/>
      <c r="AF73" s="44" t="n"/>
      <c r="AG73" s="42" t="inlineStr">
        <is>
          <t>—</t>
        </is>
      </c>
      <c r="AH73" s="42">
        <f>COUNTIF(G73:AF73,"X")</f>
        <v/>
      </c>
      <c r="AI73" s="42" t="inlineStr">
        <is>
          <t>—</t>
        </is>
      </c>
    </row>
    <row r="74">
      <c r="A74" s="39" t="inlineStr">
        <is>
          <t>Stock</t>
        </is>
      </c>
      <c r="B74" s="40" t="inlineStr">
        <is>
          <t>Impresion de Documentacion</t>
        </is>
      </c>
      <c r="C74" s="41" t="inlineStr">
        <is>
          <t>Impresion de Guias de Usuario</t>
        </is>
      </c>
      <c r="D74" s="42" t="inlineStr">
        <is>
          <t>A confirmar</t>
        </is>
      </c>
      <c r="E74" s="42" t="inlineStr">
        <is>
          <t>A confirmar</t>
        </is>
      </c>
      <c r="F74" s="43" t="inlineStr">
        <is>
          <t>No aplica este mes</t>
        </is>
      </c>
      <c r="G74" s="44" t="n"/>
      <c r="H74" s="44" t="n"/>
      <c r="I74" s="44" t="n"/>
      <c r="J74" s="44" t="n"/>
      <c r="K74" s="44" t="n"/>
      <c r="L74" s="44" t="n"/>
      <c r="M74" s="44" t="n"/>
      <c r="N74" s="44" t="n"/>
      <c r="O74" s="44" t="n"/>
      <c r="P74" s="44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  <c r="AE74" s="44" t="n"/>
      <c r="AF74" s="44" t="n"/>
      <c r="AG74" s="42" t="inlineStr">
        <is>
          <t>—</t>
        </is>
      </c>
      <c r="AH74" s="42">
        <f>COUNTIF(G74:AF74,"X")</f>
        <v/>
      </c>
      <c r="AI74" s="42" t="inlineStr">
        <is>
          <t>—</t>
        </is>
      </c>
    </row>
    <row r="75">
      <c r="A75" s="39" t="inlineStr">
        <is>
          <t>Stock</t>
        </is>
      </c>
      <c r="B75" s="40" t="inlineStr">
        <is>
          <t>Impresion de Documentacion</t>
        </is>
      </c>
      <c r="C75" s="41" t="inlineStr">
        <is>
          <t>Impresion de Ordenes de Servicio</t>
        </is>
      </c>
      <c r="D75" s="42" t="inlineStr">
        <is>
          <t>Mensual</t>
        </is>
      </c>
      <c r="E75" s="42" t="n">
        <v>45</v>
      </c>
      <c r="F75" s="43" t="inlineStr">
        <is>
          <t>Fija</t>
        </is>
      </c>
      <c r="G75" s="44" t="n"/>
      <c r="H75" s="44" t="n"/>
      <c r="I75" s="44" t="n"/>
      <c r="J75" s="44" t="n"/>
      <c r="K75" s="44" t="n"/>
      <c r="L75" s="44" t="n"/>
      <c r="M75" s="44" t="n"/>
      <c r="N75" s="44" t="n"/>
      <c r="O75" s="44" t="n"/>
      <c r="P75" s="44" t="n"/>
      <c r="Q75" s="45" t="n"/>
      <c r="R75" s="44" t="n"/>
      <c r="S75" s="44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  <c r="AE75" s="44" t="n"/>
      <c r="AF75" s="44" t="n"/>
      <c r="AG75" s="42" t="n">
        <v>0.75</v>
      </c>
      <c r="AH75" s="42">
        <f>COUNTIF(G75:AF75,"X")*45.0/60</f>
        <v/>
      </c>
      <c r="AI75" s="42">
        <f>AH75-AG75</f>
        <v/>
      </c>
    </row>
    <row r="76">
      <c r="A76" s="39" t="inlineStr">
        <is>
          <t>Stock</t>
        </is>
      </c>
      <c r="B76" s="40" t="inlineStr">
        <is>
          <t>Control de Flota / Vehiculos</t>
        </is>
      </c>
      <c r="C76" s="41" t="inlineStr">
        <is>
          <t>Control ITV vehiculo OYS427</t>
        </is>
      </c>
      <c r="D76" s="42" t="inlineStr">
        <is>
          <t>Semestral</t>
        </is>
      </c>
      <c r="E76" s="42" t="n">
        <v>120</v>
      </c>
      <c r="F76" s="43" t="inlineStr">
        <is>
          <t>No aplica este mes</t>
        </is>
      </c>
      <c r="G76" s="44" t="n"/>
      <c r="H76" s="44" t="n"/>
      <c r="I76" s="44" t="n"/>
      <c r="J76" s="44" t="n"/>
      <c r="K76" s="44" t="n"/>
      <c r="L76" s="44" t="n"/>
      <c r="M76" s="44" t="n"/>
      <c r="N76" s="44" t="n"/>
      <c r="O76" s="44" t="n"/>
      <c r="P76" s="44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  <c r="AC76" s="44" t="n"/>
      <c r="AD76" s="44" t="n"/>
      <c r="AE76" s="44" t="n"/>
      <c r="AF76" s="44" t="n"/>
      <c r="AG76" s="42" t="inlineStr">
        <is>
          <t>—</t>
        </is>
      </c>
      <c r="AH76" s="42">
        <f>COUNTIF(G76:AF76,"X")*120.0/60</f>
        <v/>
      </c>
      <c r="AI76" s="42" t="inlineStr">
        <is>
          <t>—</t>
        </is>
      </c>
    </row>
    <row r="77">
      <c r="A77" s="39" t="inlineStr">
        <is>
          <t>Stock</t>
        </is>
      </c>
      <c r="B77" s="40" t="inlineStr">
        <is>
          <t>Control de Flota / Vehiculos</t>
        </is>
      </c>
      <c r="C77" s="41" t="inlineStr">
        <is>
          <t>Control impuestos vehiculo OYS427</t>
        </is>
      </c>
      <c r="D77" s="42" t="inlineStr">
        <is>
          <t>Semestral</t>
        </is>
      </c>
      <c r="E77" s="42" t="n">
        <v>120</v>
      </c>
      <c r="F77" s="43" t="inlineStr">
        <is>
          <t>No aplica este mes</t>
        </is>
      </c>
      <c r="G77" s="44" t="n"/>
      <c r="H77" s="44" t="n"/>
      <c r="I77" s="44" t="n"/>
      <c r="J77" s="44" t="n"/>
      <c r="K77" s="44" t="n"/>
      <c r="L77" s="44" t="n"/>
      <c r="M77" s="44" t="n"/>
      <c r="N77" s="44" t="n"/>
      <c r="O77" s="44" t="n"/>
      <c r="P77" s="44" t="n"/>
      <c r="Q77" s="44" t="n"/>
      <c r="R77" s="44" t="n"/>
      <c r="S77" s="44" t="n"/>
      <c r="T77" s="44" t="n"/>
      <c r="U77" s="44" t="n"/>
      <c r="V77" s="44" t="n"/>
      <c r="W77" s="44" t="n"/>
      <c r="X77" s="44" t="n"/>
      <c r="Y77" s="44" t="n"/>
      <c r="Z77" s="44" t="n"/>
      <c r="AA77" s="44" t="n"/>
      <c r="AB77" s="44" t="n"/>
      <c r="AC77" s="44" t="n"/>
      <c r="AD77" s="44" t="n"/>
      <c r="AE77" s="44" t="n"/>
      <c r="AF77" s="44" t="n"/>
      <c r="AG77" s="42" t="inlineStr">
        <is>
          <t>—</t>
        </is>
      </c>
      <c r="AH77" s="42">
        <f>COUNTIF(G77:AF77,"X")*120.0/60</f>
        <v/>
      </c>
      <c r="AI77" s="42" t="inlineStr">
        <is>
          <t>—</t>
        </is>
      </c>
    </row>
    <row r="78">
      <c r="A78" s="39" t="inlineStr">
        <is>
          <t>Stock</t>
        </is>
      </c>
      <c r="B78" s="40" t="inlineStr">
        <is>
          <t>Control de Flota / Vehiculos</t>
        </is>
      </c>
      <c r="C78" s="41" t="inlineStr">
        <is>
          <t>Control ITV vehiculo AE533YE</t>
        </is>
      </c>
      <c r="D78" s="42" t="inlineStr">
        <is>
          <t>Semestral</t>
        </is>
      </c>
      <c r="E78" s="42" t="n">
        <v>120</v>
      </c>
      <c r="F78" s="43" t="inlineStr">
        <is>
          <t>No aplica este mes</t>
        </is>
      </c>
      <c r="G78" s="44" t="n"/>
      <c r="H78" s="44" t="n"/>
      <c r="I78" s="44" t="n"/>
      <c r="J78" s="44" t="n"/>
      <c r="K78" s="44" t="n"/>
      <c r="L78" s="44" t="n"/>
      <c r="M78" s="44" t="n"/>
      <c r="N78" s="44" t="n"/>
      <c r="O78" s="44" t="n"/>
      <c r="P78" s="44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  <c r="AE78" s="44" t="n"/>
      <c r="AF78" s="44" t="n"/>
      <c r="AG78" s="42" t="inlineStr">
        <is>
          <t>—</t>
        </is>
      </c>
      <c r="AH78" s="42">
        <f>COUNTIF(G78:AF78,"X")*120.0/60</f>
        <v/>
      </c>
      <c r="AI78" s="42" t="inlineStr">
        <is>
          <t>—</t>
        </is>
      </c>
    </row>
    <row r="79">
      <c r="A79" s="39" t="inlineStr">
        <is>
          <t>Stock</t>
        </is>
      </c>
      <c r="B79" s="40" t="inlineStr">
        <is>
          <t>Control de Flota / Vehiculos</t>
        </is>
      </c>
      <c r="C79" s="41" t="inlineStr">
        <is>
          <t>Control impuestos vehiculo AE533YE</t>
        </is>
      </c>
      <c r="D79" s="42" t="inlineStr">
        <is>
          <t>Semestral</t>
        </is>
      </c>
      <c r="E79" s="42" t="n">
        <v>120</v>
      </c>
      <c r="F79" s="43" t="inlineStr">
        <is>
          <t>No aplica este mes</t>
        </is>
      </c>
      <c r="G79" s="44" t="n"/>
      <c r="H79" s="44" t="n"/>
      <c r="I79" s="44" t="n"/>
      <c r="J79" s="44" t="n"/>
      <c r="K79" s="44" t="n"/>
      <c r="L79" s="44" t="n"/>
      <c r="M79" s="44" t="n"/>
      <c r="N79" s="44" t="n"/>
      <c r="O79" s="44" t="n"/>
      <c r="P79" s="44" t="n"/>
      <c r="Q79" s="44" t="n"/>
      <c r="R79" s="44" t="n"/>
      <c r="S79" s="44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B79" s="44" t="n"/>
      <c r="AC79" s="44" t="n"/>
      <c r="AD79" s="44" t="n"/>
      <c r="AE79" s="44" t="n"/>
      <c r="AF79" s="44" t="n"/>
      <c r="AG79" s="42" t="inlineStr">
        <is>
          <t>—</t>
        </is>
      </c>
      <c r="AH79" s="42">
        <f>COUNTIF(G79:AF79,"X")*120.0/60</f>
        <v/>
      </c>
      <c r="AI79" s="42" t="inlineStr">
        <is>
          <t>—</t>
        </is>
      </c>
    </row>
    <row r="80">
      <c r="A80" s="39" t="inlineStr">
        <is>
          <t>Stock</t>
        </is>
      </c>
      <c r="B80" s="40" t="inlineStr">
        <is>
          <t>Control de Flota / Vehiculos</t>
        </is>
      </c>
      <c r="C80" s="41" t="inlineStr">
        <is>
          <t>Control de deudas (por vehiculo)</t>
        </is>
      </c>
      <c r="D80" s="42" t="inlineStr">
        <is>
          <t>A confirmar</t>
        </is>
      </c>
      <c r="E80" s="42" t="inlineStr">
        <is>
          <t>A confirmar</t>
        </is>
      </c>
      <c r="F80" s="43" t="inlineStr">
        <is>
          <t>No aplica este mes</t>
        </is>
      </c>
      <c r="G80" s="44" t="n"/>
      <c r="H80" s="44" t="n"/>
      <c r="I80" s="44" t="n"/>
      <c r="J80" s="44" t="n"/>
      <c r="K80" s="44" t="n"/>
      <c r="L80" s="44" t="n"/>
      <c r="M80" s="44" t="n"/>
      <c r="N80" s="44" t="n"/>
      <c r="O80" s="44" t="n"/>
      <c r="P80" s="44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  <c r="AE80" s="44" t="n"/>
      <c r="AF80" s="44" t="n"/>
      <c r="AG80" s="42" t="inlineStr">
        <is>
          <t>—</t>
        </is>
      </c>
      <c r="AH80" s="42">
        <f>COUNTIF(G80:AF80,"X")</f>
        <v/>
      </c>
      <c r="AI80" s="42" t="inlineStr">
        <is>
          <t>—</t>
        </is>
      </c>
    </row>
    <row r="81">
      <c r="A81" s="39" t="inlineStr">
        <is>
          <t>Stock</t>
        </is>
      </c>
      <c r="B81" s="40" t="inlineStr">
        <is>
          <t>Control de Flota / Vehiculos</t>
        </is>
      </c>
      <c r="C81" s="41" t="inlineStr">
        <is>
          <t>Control de multas (por vehiculo)</t>
        </is>
      </c>
      <c r="D81" s="42" t="inlineStr">
        <is>
          <t>A confirmar</t>
        </is>
      </c>
      <c r="E81" s="42" t="inlineStr">
        <is>
          <t>A confirmar</t>
        </is>
      </c>
      <c r="F81" s="43" t="inlineStr">
        <is>
          <t>No aplica este mes</t>
        </is>
      </c>
      <c r="G81" s="44" t="n"/>
      <c r="H81" s="44" t="n"/>
      <c r="I81" s="44" t="n"/>
      <c r="J81" s="44" t="n"/>
      <c r="K81" s="44" t="n"/>
      <c r="L81" s="44" t="n"/>
      <c r="M81" s="44" t="n"/>
      <c r="N81" s="44" t="n"/>
      <c r="O81" s="44" t="n"/>
      <c r="P81" s="44" t="n"/>
      <c r="Q81" s="44" t="n"/>
      <c r="R81" s="44" t="n"/>
      <c r="S81" s="44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  <c r="AE81" s="44" t="n"/>
      <c r="AF81" s="44" t="n"/>
      <c r="AG81" s="42" t="inlineStr">
        <is>
          <t>—</t>
        </is>
      </c>
      <c r="AH81" s="42">
        <f>COUNTIF(G81:AF81,"X")</f>
        <v/>
      </c>
      <c r="AI81" s="42" t="inlineStr">
        <is>
          <t>—</t>
        </is>
      </c>
    </row>
    <row r="82">
      <c r="A82" s="39" t="inlineStr">
        <is>
          <t>Stock</t>
        </is>
      </c>
      <c r="B82" s="40" t="inlineStr">
        <is>
          <t>Control de Flota / Vehiculos</t>
        </is>
      </c>
      <c r="C82" s="41" t="inlineStr">
        <is>
          <t>GAP: 2 vehiculos sin control asignado</t>
        </is>
      </c>
      <c r="D82" s="42" t="inlineStr">
        <is>
          <t>N/A</t>
        </is>
      </c>
      <c r="E82" s="42" t="inlineStr">
        <is>
          <t>N/A</t>
        </is>
      </c>
      <c r="F82" s="43" t="inlineStr">
        <is>
          <t>No aplica este mes</t>
        </is>
      </c>
      <c r="G82" s="44" t="n"/>
      <c r="H82" s="44" t="n"/>
      <c r="I82" s="44" t="n"/>
      <c r="J82" s="44" t="n"/>
      <c r="K82" s="44" t="n"/>
      <c r="L82" s="44" t="n"/>
      <c r="M82" s="44" t="n"/>
      <c r="N82" s="44" t="n"/>
      <c r="O82" s="44" t="n"/>
      <c r="P82" s="44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  <c r="AC82" s="44" t="n"/>
      <c r="AD82" s="44" t="n"/>
      <c r="AE82" s="44" t="n"/>
      <c r="AF82" s="44" t="n"/>
      <c r="AG82" s="42" t="inlineStr">
        <is>
          <t>—</t>
        </is>
      </c>
      <c r="AH82" s="42">
        <f>COUNTIF(G82:AF82,"X")</f>
        <v/>
      </c>
      <c r="AI82" s="42" t="inlineStr">
        <is>
          <t>—</t>
        </is>
      </c>
    </row>
    <row r="83">
      <c r="A83" s="39" t="inlineStr">
        <is>
          <t>Stock</t>
        </is>
      </c>
      <c r="B83" s="40" t="inlineStr">
        <is>
          <t>Puesta en Valor de Equipos (nombre tentativo)</t>
        </is>
      </c>
      <c r="C83" s="41" t="inlineStr">
        <is>
          <t>Recuperacion de equipos CP4000</t>
        </is>
      </c>
      <c r="D83" s="42" t="inlineStr">
        <is>
          <t>A confirmar</t>
        </is>
      </c>
      <c r="E83" s="42" t="inlineStr">
        <is>
          <t>A confirmar</t>
        </is>
      </c>
      <c r="F83" s="43" t="inlineStr">
        <is>
          <t>No aplica este mes</t>
        </is>
      </c>
      <c r="G83" s="44" t="n"/>
      <c r="H83" s="44" t="n"/>
      <c r="I83" s="44" t="n"/>
      <c r="J83" s="44" t="n"/>
      <c r="K83" s="44" t="n"/>
      <c r="L83" s="44" t="n"/>
      <c r="M83" s="44" t="n"/>
      <c r="N83" s="44" t="n"/>
      <c r="O83" s="44" t="n"/>
      <c r="P83" s="44" t="n"/>
      <c r="Q83" s="44" t="n"/>
      <c r="R83" s="44" t="n"/>
      <c r="S83" s="44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  <c r="AE83" s="44" t="n"/>
      <c r="AF83" s="44" t="n"/>
      <c r="AG83" s="42" t="inlineStr">
        <is>
          <t>—</t>
        </is>
      </c>
      <c r="AH83" s="42">
        <f>COUNTIF(G83:AF83,"X")</f>
        <v/>
      </c>
      <c r="AI83" s="42" t="inlineStr">
        <is>
          <t>—</t>
        </is>
      </c>
    </row>
    <row r="84">
      <c r="A84" s="39" t="inlineStr">
        <is>
          <t>Stock</t>
        </is>
      </c>
      <c r="B84" s="40" t="inlineStr">
        <is>
          <t>Puesta en Valor de Equipos (nombre tentativo)</t>
        </is>
      </c>
      <c r="C84" s="41" t="inlineStr">
        <is>
          <t>Recuperacion de equipos AXpro</t>
        </is>
      </c>
      <c r="D84" s="42" t="inlineStr">
        <is>
          <t>A confirmar</t>
        </is>
      </c>
      <c r="E84" s="42" t="inlineStr">
        <is>
          <t>A confirmar</t>
        </is>
      </c>
      <c r="F84" s="43" t="inlineStr">
        <is>
          <t>No aplica este mes</t>
        </is>
      </c>
      <c r="G84" s="44" t="n"/>
      <c r="H84" s="44" t="n"/>
      <c r="I84" s="44" t="n"/>
      <c r="J84" s="44" t="n"/>
      <c r="K84" s="44" t="n"/>
      <c r="L84" s="44" t="n"/>
      <c r="M84" s="44" t="n"/>
      <c r="N84" s="44" t="n"/>
      <c r="O84" s="44" t="n"/>
      <c r="P84" s="44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  <c r="AC84" s="44" t="n"/>
      <c r="AD84" s="44" t="n"/>
      <c r="AE84" s="44" t="n"/>
      <c r="AF84" s="44" t="n"/>
      <c r="AG84" s="42" t="inlineStr">
        <is>
          <t>—</t>
        </is>
      </c>
      <c r="AH84" s="42">
        <f>COUNTIF(G84:AF84,"X")</f>
        <v/>
      </c>
      <c r="AI84" s="42" t="inlineStr">
        <is>
          <t>—</t>
        </is>
      </c>
    </row>
    <row r="85">
      <c r="A85" s="39" t="inlineStr">
        <is>
          <t>Stock</t>
        </is>
      </c>
      <c r="B85" s="40" t="inlineStr">
        <is>
          <t>Control de Stock - Sede NCS</t>
        </is>
      </c>
      <c r="C85" s="41" t="inlineStr">
        <is>
          <t>Reposicion de Stock NCS</t>
        </is>
      </c>
      <c r="D85" s="42" t="inlineStr">
        <is>
          <t>Semanal</t>
        </is>
      </c>
      <c r="E85" s="42" t="n">
        <v>60</v>
      </c>
      <c r="F85" s="43" t="inlineStr">
        <is>
          <t>Fija</t>
        </is>
      </c>
      <c r="G85" s="44" t="n"/>
      <c r="H85" s="44" t="n"/>
      <c r="I85" s="44" t="n"/>
      <c r="J85" s="44" t="n"/>
      <c r="K85" s="45" t="n"/>
      <c r="L85" s="45" t="n"/>
      <c r="M85" s="44" t="n"/>
      <c r="N85" s="44" t="n"/>
      <c r="O85" s="44" t="n"/>
      <c r="P85" s="44" t="n"/>
      <c r="Q85" s="45" t="n"/>
      <c r="R85" s="45" t="n"/>
      <c r="S85" s="44" t="n"/>
      <c r="T85" s="44" t="n"/>
      <c r="U85" s="44" t="n"/>
      <c r="V85" s="44" t="n"/>
      <c r="W85" s="45" t="n"/>
      <c r="X85" s="45" t="n"/>
      <c r="Y85" s="44" t="n"/>
      <c r="Z85" s="44" t="n"/>
      <c r="AA85" s="44" t="n"/>
      <c r="AB85" s="44" t="n"/>
      <c r="AC85" s="45" t="n"/>
      <c r="AD85" s="45" t="n"/>
      <c r="AE85" s="44" t="n"/>
      <c r="AF85" s="44" t="n"/>
      <c r="AG85" s="42" t="n">
        <v>8</v>
      </c>
      <c r="AH85" s="42">
        <f>COUNTIF(G85:AF85,"X")*60.0/60</f>
        <v/>
      </c>
      <c r="AI85" s="42">
        <f>AH85-AG85</f>
        <v/>
      </c>
    </row>
    <row r="86">
      <c r="A86" s="39" t="inlineStr">
        <is>
          <t>Stock</t>
        </is>
      </c>
      <c r="B86" s="40" t="inlineStr">
        <is>
          <t>Control de Stock - Sede NCS</t>
        </is>
      </c>
      <c r="C86" s="41" t="inlineStr">
        <is>
          <t>Control de Stock NCS (sistema XBIS)</t>
        </is>
      </c>
      <c r="D86" s="42" t="inlineStr">
        <is>
          <t>Semanal</t>
        </is>
      </c>
      <c r="E86" s="42" t="inlineStr">
        <is>
          <t>A confirmar</t>
        </is>
      </c>
      <c r="F86" s="43" t="inlineStr">
        <is>
          <t>Fija</t>
        </is>
      </c>
      <c r="G86" s="44" t="n"/>
      <c r="H86" s="44" t="n"/>
      <c r="I86" s="44" t="n"/>
      <c r="J86" s="45" t="n"/>
      <c r="K86" s="44" t="n"/>
      <c r="L86" s="45" t="n"/>
      <c r="M86" s="44" t="n"/>
      <c r="N86" s="44" t="n"/>
      <c r="O86" s="44" t="n"/>
      <c r="P86" s="45" t="n"/>
      <c r="Q86" s="44" t="n"/>
      <c r="R86" s="45" t="n"/>
      <c r="S86" s="44" t="n"/>
      <c r="T86" s="44" t="n"/>
      <c r="U86" s="44" t="n"/>
      <c r="V86" s="45" t="n"/>
      <c r="W86" s="44" t="n"/>
      <c r="X86" s="45" t="n"/>
      <c r="Y86" s="44" t="n"/>
      <c r="Z86" s="44" t="n"/>
      <c r="AA86" s="44" t="n"/>
      <c r="AB86" s="45" t="n"/>
      <c r="AC86" s="44" t="n"/>
      <c r="AD86" s="45" t="n"/>
      <c r="AE86" s="44" t="n"/>
      <c r="AF86" s="44" t="n"/>
      <c r="AG86" s="42" t="inlineStr">
        <is>
          <t>—</t>
        </is>
      </c>
      <c r="AH86" s="42">
        <f>COUNTIF(G86:AF86,"X")</f>
        <v/>
      </c>
      <c r="AI86" s="42" t="inlineStr">
        <is>
          <t>—</t>
        </is>
      </c>
    </row>
    <row r="87">
      <c r="A87" s="39" t="inlineStr">
        <is>
          <t>Stock</t>
        </is>
      </c>
      <c r="B87" s="40" t="inlineStr">
        <is>
          <t>Control de Stock - Sede NCS</t>
        </is>
      </c>
      <c r="C87" s="41" t="inlineStr">
        <is>
          <t>Control de Stock NCS (sistema EZLink)</t>
        </is>
      </c>
      <c r="D87" s="42" t="inlineStr">
        <is>
          <t>Semanal</t>
        </is>
      </c>
      <c r="E87" s="42" t="inlineStr">
        <is>
          <t>A confirmar</t>
        </is>
      </c>
      <c r="F87" s="43" t="inlineStr">
        <is>
          <t>Fija</t>
        </is>
      </c>
      <c r="G87" s="44" t="n"/>
      <c r="H87" s="44" t="n"/>
      <c r="I87" s="44" t="n"/>
      <c r="J87" s="45" t="n"/>
      <c r="K87" s="44" t="n"/>
      <c r="L87" s="45" t="n"/>
      <c r="M87" s="44" t="n"/>
      <c r="N87" s="44" t="n"/>
      <c r="O87" s="44" t="n"/>
      <c r="P87" s="45" t="n"/>
      <c r="Q87" s="44" t="n"/>
      <c r="R87" s="45" t="n"/>
      <c r="S87" s="44" t="n"/>
      <c r="T87" s="44" t="n"/>
      <c r="U87" s="44" t="n"/>
      <c r="V87" s="45" t="n"/>
      <c r="W87" s="44" t="n"/>
      <c r="X87" s="45" t="n"/>
      <c r="Y87" s="44" t="n"/>
      <c r="Z87" s="44" t="n"/>
      <c r="AA87" s="44" t="n"/>
      <c r="AB87" s="45" t="n"/>
      <c r="AC87" s="44" t="n"/>
      <c r="AD87" s="45" t="n"/>
      <c r="AE87" s="44" t="n"/>
      <c r="AF87" s="44" t="n"/>
      <c r="AG87" s="42" t="inlineStr">
        <is>
          <t>—</t>
        </is>
      </c>
      <c r="AH87" s="42">
        <f>COUNTIF(G87:AF87,"X")</f>
        <v/>
      </c>
      <c r="AI87" s="42" t="inlineStr">
        <is>
          <t>—</t>
        </is>
      </c>
    </row>
    <row r="88">
      <c r="A88" s="39" t="inlineStr">
        <is>
          <t>Stock</t>
        </is>
      </c>
      <c r="B88" s="40" t="inlineStr">
        <is>
          <t>Control de Receptoras</t>
        </is>
      </c>
      <c r="C88" s="41" t="inlineStr">
        <is>
          <t>Control de buen estado receptoras IPR512 (R-04)</t>
        </is>
      </c>
      <c r="D88" s="42" t="inlineStr">
        <is>
          <t>Diario</t>
        </is>
      </c>
      <c r="E88" s="42" t="n">
        <v>10</v>
      </c>
      <c r="F88" s="43" t="inlineStr">
        <is>
          <t>Fija</t>
        </is>
      </c>
      <c r="G88" s="44" t="n"/>
      <c r="H88" s="44" t="n"/>
      <c r="I88" s="44" t="n"/>
      <c r="J88" s="44" t="n"/>
      <c r="K88" s="44" t="n"/>
      <c r="L88" s="45" t="n"/>
      <c r="M88" s="44" t="n"/>
      <c r="N88" s="44" t="n"/>
      <c r="O88" s="44" t="n"/>
      <c r="P88" s="44" t="n"/>
      <c r="Q88" s="44" t="n"/>
      <c r="R88" s="45" t="n"/>
      <c r="S88" s="44" t="n"/>
      <c r="T88" s="44" t="n"/>
      <c r="U88" s="44" t="n"/>
      <c r="V88" s="44" t="n"/>
      <c r="W88" s="44" t="n"/>
      <c r="X88" s="45" t="n"/>
      <c r="Y88" s="44" t="n"/>
      <c r="Z88" s="44" t="n"/>
      <c r="AA88" s="44" t="n"/>
      <c r="AB88" s="44" t="n"/>
      <c r="AC88" s="44" t="n"/>
      <c r="AD88" s="45" t="n"/>
      <c r="AE88" s="44" t="n"/>
      <c r="AF88" s="44" t="n"/>
      <c r="AG88" s="42" t="n">
        <v>0.67</v>
      </c>
      <c r="AH88" s="42">
        <f>COUNTIF(G88:AF88,"X")*10.0/60</f>
        <v/>
      </c>
      <c r="AI88" s="42">
        <f>AH88-AG88</f>
        <v/>
      </c>
    </row>
    <row r="89">
      <c r="A89" s="39" t="inlineStr">
        <is>
          <t>Stock</t>
        </is>
      </c>
      <c r="B89" s="40" t="inlineStr">
        <is>
          <t>Control de Receptoras</t>
        </is>
      </c>
      <c r="C89" s="41" t="inlineStr">
        <is>
          <t>Mandar mensajes a AVATEC 01</t>
        </is>
      </c>
      <c r="D89" s="42" t="inlineStr">
        <is>
          <t>Diario</t>
        </is>
      </c>
      <c r="E89" s="42" t="n">
        <v>10</v>
      </c>
      <c r="F89" s="43" t="inlineStr">
        <is>
          <t>Fija</t>
        </is>
      </c>
      <c r="G89" s="44" t="n"/>
      <c r="H89" s="44" t="n"/>
      <c r="I89" s="44" t="n"/>
      <c r="J89" s="44" t="n"/>
      <c r="K89" s="44" t="n"/>
      <c r="L89" s="45" t="n"/>
      <c r="M89" s="44" t="n"/>
      <c r="N89" s="44" t="n"/>
      <c r="O89" s="44" t="n"/>
      <c r="P89" s="44" t="n"/>
      <c r="Q89" s="44" t="n"/>
      <c r="R89" s="45" t="n"/>
      <c r="S89" s="44" t="n"/>
      <c r="T89" s="44" t="n"/>
      <c r="U89" s="44" t="n"/>
      <c r="V89" s="44" t="n"/>
      <c r="W89" s="44" t="n"/>
      <c r="X89" s="45" t="n"/>
      <c r="Y89" s="44" t="n"/>
      <c r="Z89" s="44" t="n"/>
      <c r="AA89" s="44" t="n"/>
      <c r="AB89" s="44" t="n"/>
      <c r="AC89" s="44" t="n"/>
      <c r="AD89" s="45" t="n"/>
      <c r="AE89" s="44" t="n"/>
      <c r="AF89" s="44" t="n"/>
      <c r="AG89" s="42" t="n">
        <v>0.67</v>
      </c>
      <c r="AH89" s="42">
        <f>COUNTIF(G89:AF89,"X")*10.0/60</f>
        <v/>
      </c>
      <c r="AI89" s="42">
        <f>AH89-AG89</f>
        <v/>
      </c>
    </row>
    <row r="90">
      <c r="A90" s="39" t="inlineStr">
        <is>
          <t>Stock</t>
        </is>
      </c>
      <c r="B90" s="40" t="inlineStr">
        <is>
          <t>Control de Receptoras</t>
        </is>
      </c>
      <c r="C90" s="41" t="inlineStr">
        <is>
          <t>GAP: protocolo cuando una receptora no funciona</t>
        </is>
      </c>
      <c r="D90" s="42" t="inlineStr">
        <is>
          <t>N/A</t>
        </is>
      </c>
      <c r="E90" s="42" t="inlineStr">
        <is>
          <t>N/A</t>
        </is>
      </c>
      <c r="F90" s="43" t="inlineStr">
        <is>
          <t>No aplica este mes</t>
        </is>
      </c>
      <c r="G90" s="44" t="n"/>
      <c r="H90" s="44" t="n"/>
      <c r="I90" s="44" t="n"/>
      <c r="J90" s="44" t="n"/>
      <c r="K90" s="44" t="n"/>
      <c r="L90" s="44" t="n"/>
      <c r="M90" s="44" t="n"/>
      <c r="N90" s="44" t="n"/>
      <c r="O90" s="44" t="n"/>
      <c r="P90" s="44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  <c r="AE90" s="44" t="n"/>
      <c r="AF90" s="44" t="n"/>
      <c r="AG90" s="42" t="inlineStr">
        <is>
          <t>—</t>
        </is>
      </c>
      <c r="AH90" s="42">
        <f>COUNTIF(G90:AF90,"X")</f>
        <v/>
      </c>
      <c r="AI90" s="42" t="inlineStr">
        <is>
          <t>—</t>
        </is>
      </c>
    </row>
    <row r="91">
      <c r="A91" s="39" t="inlineStr">
        <is>
          <t>Stock</t>
        </is>
      </c>
      <c r="B91" s="40" t="inlineStr">
        <is>
          <t>Control de Carteleria</t>
        </is>
      </c>
      <c r="C91" s="41" t="inlineStr">
        <is>
          <t>Control de carteleria</t>
        </is>
      </c>
      <c r="D91" s="42" t="inlineStr">
        <is>
          <t>Mensual</t>
        </is>
      </c>
      <c r="E91" s="42" t="n">
        <v>5</v>
      </c>
      <c r="F91" s="43" t="inlineStr">
        <is>
          <t>Fija</t>
        </is>
      </c>
      <c r="G91" s="45" t="n"/>
      <c r="H91" s="44" t="n"/>
      <c r="I91" s="44" t="n"/>
      <c r="J91" s="44" t="n"/>
      <c r="K91" s="44" t="n"/>
      <c r="L91" s="44" t="n"/>
      <c r="M91" s="44" t="n"/>
      <c r="N91" s="44" t="n"/>
      <c r="O91" s="44" t="n"/>
      <c r="P91" s="44" t="n"/>
      <c r="Q91" s="44" t="n"/>
      <c r="R91" s="44" t="n"/>
      <c r="S91" s="44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B91" s="44" t="n"/>
      <c r="AC91" s="44" t="n"/>
      <c r="AD91" s="44" t="n"/>
      <c r="AE91" s="44" t="n"/>
      <c r="AF91" s="44" t="n"/>
      <c r="AG91" s="42" t="n">
        <v>0.08</v>
      </c>
      <c r="AH91" s="42">
        <f>COUNTIF(G91:AF91,"X")*5.0/60</f>
        <v/>
      </c>
      <c r="AI91" s="42">
        <f>AH91-AG91</f>
        <v/>
      </c>
    </row>
    <row r="93">
      <c r="A93" s="47" t="inlineStr">
        <is>
          <t>Carga estimada vs. capacidad disponible por día</t>
        </is>
      </c>
    </row>
    <row r="94">
      <c r="A94" s="48" t="inlineStr">
        <is>
          <t>Minutos asignados ese día (tareas de frecuencia fija)</t>
        </is>
      </c>
      <c r="G94" s="49" t="n">
        <v>120</v>
      </c>
      <c r="H94" s="49" t="n">
        <v>190</v>
      </c>
      <c r="I94" s="49" t="n">
        <v>90</v>
      </c>
      <c r="J94" s="49" t="n">
        <v>60</v>
      </c>
      <c r="K94" s="49" t="n">
        <v>265</v>
      </c>
      <c r="L94" s="49" t="n">
        <v>500</v>
      </c>
      <c r="M94" s="49" t="n">
        <v>55</v>
      </c>
      <c r="N94" s="49" t="n">
        <v>190</v>
      </c>
      <c r="O94" s="49" t="n">
        <v>90</v>
      </c>
      <c r="P94" s="49" t="n">
        <v>60</v>
      </c>
      <c r="Q94" s="49" t="n">
        <v>325</v>
      </c>
      <c r="R94" s="49" t="n">
        <v>500</v>
      </c>
      <c r="S94" s="49" t="n">
        <v>55</v>
      </c>
      <c r="T94" s="49" t="n">
        <v>190</v>
      </c>
      <c r="U94" s="49" t="n">
        <v>90</v>
      </c>
      <c r="V94" s="49" t="n">
        <v>60</v>
      </c>
      <c r="W94" s="49" t="n">
        <v>265</v>
      </c>
      <c r="X94" s="49" t="n">
        <v>500</v>
      </c>
      <c r="Y94" s="49" t="n">
        <v>55</v>
      </c>
      <c r="Z94" s="49" t="n">
        <v>190</v>
      </c>
      <c r="AA94" s="49" t="n">
        <v>90</v>
      </c>
      <c r="AB94" s="49" t="n">
        <v>200</v>
      </c>
      <c r="AC94" s="49" t="n">
        <v>280</v>
      </c>
      <c r="AD94" s="49" t="n">
        <v>500</v>
      </c>
      <c r="AE94" s="49" t="n">
        <v>55</v>
      </c>
      <c r="AF94" s="49" t="n">
        <v>250</v>
      </c>
    </row>
    <row r="95">
      <c r="A95" s="48" t="inlineStr">
        <is>
          <t>Capacidad disponible ese día (min)</t>
        </is>
      </c>
      <c r="G95" s="49" t="n">
        <v>240</v>
      </c>
      <c r="H95" s="49" t="n">
        <v>480</v>
      </c>
      <c r="I95" s="49" t="n">
        <v>480</v>
      </c>
      <c r="J95" s="49" t="n">
        <v>480</v>
      </c>
      <c r="K95" s="49" t="n">
        <v>480</v>
      </c>
      <c r="L95" s="49" t="n">
        <v>480</v>
      </c>
      <c r="M95" s="49" t="n">
        <v>240</v>
      </c>
      <c r="N95" s="49" t="n">
        <v>480</v>
      </c>
      <c r="O95" s="49" t="n">
        <v>480</v>
      </c>
      <c r="P95" s="49" t="n">
        <v>480</v>
      </c>
      <c r="Q95" s="49" t="n">
        <v>480</v>
      </c>
      <c r="R95" s="49" t="n">
        <v>480</v>
      </c>
      <c r="S95" s="49" t="n">
        <v>240</v>
      </c>
      <c r="T95" s="49" t="n">
        <v>480</v>
      </c>
      <c r="U95" s="49" t="n">
        <v>480</v>
      </c>
      <c r="V95" s="49" t="n">
        <v>480</v>
      </c>
      <c r="W95" s="49" t="n">
        <v>480</v>
      </c>
      <c r="X95" s="49" t="n">
        <v>480</v>
      </c>
      <c r="Y95" s="49" t="n">
        <v>240</v>
      </c>
      <c r="Z95" s="49" t="n">
        <v>480</v>
      </c>
      <c r="AA95" s="49" t="n">
        <v>480</v>
      </c>
      <c r="AB95" s="49" t="n">
        <v>480</v>
      </c>
      <c r="AC95" s="49" t="n">
        <v>480</v>
      </c>
      <c r="AD95" s="49" t="n">
        <v>480</v>
      </c>
      <c r="AE95" s="49" t="n">
        <v>240</v>
      </c>
      <c r="AF95" s="49" t="n">
        <v>480</v>
      </c>
    </row>
    <row r="96">
      <c r="A96" s="50" t="inlineStr">
        <is>
          <t>Saldo (min) — negativo = sobrecarga ese día</t>
        </is>
      </c>
      <c r="G96" s="51">
        <f>G95-G94</f>
        <v/>
      </c>
      <c r="H96" s="51">
        <f>H95-H94</f>
        <v/>
      </c>
      <c r="I96" s="51">
        <f>I95-I94</f>
        <v/>
      </c>
      <c r="J96" s="51">
        <f>J95-J94</f>
        <v/>
      </c>
      <c r="K96" s="51">
        <f>K95-K94</f>
        <v/>
      </c>
      <c r="L96" s="51">
        <f>L95-L94</f>
        <v/>
      </c>
      <c r="M96" s="51">
        <f>M95-M94</f>
        <v/>
      </c>
      <c r="N96" s="51">
        <f>N95-N94</f>
        <v/>
      </c>
      <c r="O96" s="51">
        <f>O95-O94</f>
        <v/>
      </c>
      <c r="P96" s="51">
        <f>P95-P94</f>
        <v/>
      </c>
      <c r="Q96" s="51">
        <f>Q95-Q94</f>
        <v/>
      </c>
      <c r="R96" s="51">
        <f>R95-R94</f>
        <v/>
      </c>
      <c r="S96" s="51">
        <f>S95-S94</f>
        <v/>
      </c>
      <c r="T96" s="51">
        <f>T95-T94</f>
        <v/>
      </c>
      <c r="U96" s="51">
        <f>U95-U94</f>
        <v/>
      </c>
      <c r="V96" s="51">
        <f>V95-V94</f>
        <v/>
      </c>
      <c r="W96" s="51">
        <f>W95-W94</f>
        <v/>
      </c>
      <c r="X96" s="51">
        <f>X95-X94</f>
        <v/>
      </c>
      <c r="Y96" s="51">
        <f>Y95-Y94</f>
        <v/>
      </c>
      <c r="Z96" s="51">
        <f>Z95-Z94</f>
        <v/>
      </c>
      <c r="AA96" s="51">
        <f>AA95-AA94</f>
        <v/>
      </c>
      <c r="AB96" s="51">
        <f>AB95-AB94</f>
        <v/>
      </c>
      <c r="AC96" s="51">
        <f>AC95-AC94</f>
        <v/>
      </c>
      <c r="AD96" s="51">
        <f>AD95-AD94</f>
        <v/>
      </c>
      <c r="AE96" s="51">
        <f>AE95-AE94</f>
        <v/>
      </c>
      <c r="AF96" s="51">
        <f>AF95-AF94</f>
        <v/>
      </c>
    </row>
  </sheetData>
  <conditionalFormatting sqref="G96:AF96">
    <cfRule type="expression" priority="1" dxfId="0">
      <formula>G96&lt;0</formula>
    </cfRule>
    <cfRule type="expression" priority="2" dxfId="1">
      <formula>G96&gt;=0</formula>
    </cfRule>
  </conditionalFormatting>
  <conditionalFormatting sqref="G2:AF91">
    <cfRule type="expression" priority="3" dxfId="2">
      <formula>G2="X"</formula>
    </cfRule>
    <cfRule type="expression" priority="4" dxfId="3">
      <formula>G2="-"</formula>
    </cfRule>
  </conditionalFormatting>
  <dataValidations count="1">
    <dataValidation sqref="G2:AF91" showDropDown="0" showInputMessage="0" showErrorMessage="0" allowBlank="1" type="list">
      <formula1>"X,-"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02"/>
  <sheetViews>
    <sheetView showGridLines="0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34" customWidth="1" min="3" max="3"/>
    <col width="13" customWidth="1" min="4" max="4"/>
    <col width="11" customWidth="1" min="5" max="5"/>
    <col width="20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12" customWidth="1" min="33" max="33"/>
    <col width="12" customWidth="1" min="34" max="34"/>
    <col width="11" customWidth="1" min="35" max="35"/>
  </cols>
  <sheetData>
    <row r="1" ht="46" customHeight="1">
      <c r="A1" s="34" t="inlineStr">
        <is>
          <t>Proceso</t>
        </is>
      </c>
      <c r="B1" s="34" t="inlineStr">
        <is>
          <t>Procedimiento</t>
        </is>
      </c>
      <c r="C1" s="34" t="inlineStr">
        <is>
          <t>Tarea</t>
        </is>
      </c>
      <c r="D1" s="34" t="inlineStr">
        <is>
          <t>Frecuencia</t>
        </is>
      </c>
      <c r="E1" s="34" t="inlineStr">
        <is>
          <t>Tiempo est. (min)</t>
        </is>
      </c>
      <c r="F1" s="34" t="inlineStr">
        <is>
          <t>Cobertura de días</t>
        </is>
      </c>
      <c r="G1" s="35" t="inlineStr">
        <is>
          <t>S 01/08</t>
        </is>
      </c>
      <c r="H1" s="36" t="inlineStr">
        <is>
          <t>L 03/08</t>
        </is>
      </c>
      <c r="I1" s="36" t="inlineStr">
        <is>
          <t>M 04/08</t>
        </is>
      </c>
      <c r="J1" s="36" t="inlineStr">
        <is>
          <t>X 05/08</t>
        </is>
      </c>
      <c r="K1" s="36" t="inlineStr">
        <is>
          <t>J 06/08</t>
        </is>
      </c>
      <c r="L1" s="36" t="inlineStr">
        <is>
          <t>V 07/08</t>
        </is>
      </c>
      <c r="M1" s="35" t="inlineStr">
        <is>
          <t>S 08/08</t>
        </is>
      </c>
      <c r="N1" s="36" t="inlineStr">
        <is>
          <t>L 10/08</t>
        </is>
      </c>
      <c r="O1" s="36" t="inlineStr">
        <is>
          <t>M 11/08</t>
        </is>
      </c>
      <c r="P1" s="36" t="inlineStr">
        <is>
          <t>X 12/08</t>
        </is>
      </c>
      <c r="Q1" s="36" t="inlineStr">
        <is>
          <t>J 13/08</t>
        </is>
      </c>
      <c r="R1" s="36" t="inlineStr">
        <is>
          <t>V 14/08</t>
        </is>
      </c>
      <c r="S1" s="35" t="inlineStr">
        <is>
          <t>S 15/08</t>
        </is>
      </c>
      <c r="T1" s="36" t="inlineStr">
        <is>
          <t>L 17/08</t>
        </is>
      </c>
      <c r="U1" s="36" t="inlineStr">
        <is>
          <t>M 18/08</t>
        </is>
      </c>
      <c r="V1" s="36" t="inlineStr">
        <is>
          <t>X 19/08</t>
        </is>
      </c>
      <c r="W1" s="36" t="inlineStr">
        <is>
          <t>J 20/08</t>
        </is>
      </c>
      <c r="X1" s="36" t="inlineStr">
        <is>
          <t>V 21/08</t>
        </is>
      </c>
      <c r="Y1" s="35" t="inlineStr">
        <is>
          <t>S 22/08</t>
        </is>
      </c>
      <c r="Z1" s="36" t="inlineStr">
        <is>
          <t>L 24/08</t>
        </is>
      </c>
      <c r="AA1" s="36" t="inlineStr">
        <is>
          <t>M 25/08</t>
        </is>
      </c>
      <c r="AB1" s="36" t="inlineStr">
        <is>
          <t>X 26/08</t>
        </is>
      </c>
      <c r="AC1" s="36" t="inlineStr">
        <is>
          <t>J 27/08</t>
        </is>
      </c>
      <c r="AD1" s="36" t="inlineStr">
        <is>
          <t>V 28/08</t>
        </is>
      </c>
      <c r="AE1" s="35" t="inlineStr">
        <is>
          <t>S 29/08</t>
        </is>
      </c>
      <c r="AF1" s="36" t="inlineStr">
        <is>
          <t>L 31/08</t>
        </is>
      </c>
      <c r="AG1" s="34" t="inlineStr">
        <is>
          <t>Hs. esperadas (mes)</t>
        </is>
      </c>
      <c r="AH1" s="34" t="inlineStr">
        <is>
          <t>Hs. marcadas hechas</t>
        </is>
      </c>
      <c r="AI1" s="34" t="inlineStr">
        <is>
          <t>Diferencia (hs)</t>
        </is>
      </c>
    </row>
    <row r="2">
      <c r="A2" s="37" t="inlineStr">
        <is>
          <t>TOP10 (Lunes)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</row>
    <row r="3">
      <c r="A3" s="39" t="inlineStr">
        <is>
          <t>TOP10</t>
        </is>
      </c>
      <c r="B3" s="40" t="inlineStr">
        <is>
          <t>Elaboracion y envio del informe semanal TOP10</t>
        </is>
      </c>
      <c r="C3" s="41" t="inlineStr">
        <is>
          <t>Ingresar a monitoreo.com y generar el Resumen Semanal de Eventos</t>
        </is>
      </c>
      <c r="D3" s="42" t="inlineStr">
        <is>
          <t>Semanal</t>
        </is>
      </c>
      <c r="E3" s="42" t="inlineStr">
        <is>
          <t>A confirmar</t>
        </is>
      </c>
      <c r="F3" s="43" t="inlineStr">
        <is>
          <t>Fija</t>
        </is>
      </c>
      <c r="G3" s="44" t="n"/>
      <c r="H3" s="45" t="n"/>
      <c r="I3" s="44" t="n"/>
      <c r="J3" s="44" t="n"/>
      <c r="K3" s="44" t="n"/>
      <c r="L3" s="44" t="n"/>
      <c r="M3" s="44" t="n"/>
      <c r="N3" s="45" t="n"/>
      <c r="O3" s="44" t="n"/>
      <c r="P3" s="44" t="n"/>
      <c r="Q3" s="44" t="n"/>
      <c r="R3" s="44" t="n"/>
      <c r="S3" s="44" t="n"/>
      <c r="T3" s="45" t="n"/>
      <c r="U3" s="44" t="n"/>
      <c r="V3" s="44" t="n"/>
      <c r="W3" s="44" t="n"/>
      <c r="X3" s="44" t="n"/>
      <c r="Y3" s="44" t="n"/>
      <c r="Z3" s="45" t="n"/>
      <c r="AA3" s="44" t="n"/>
      <c r="AB3" s="44" t="n"/>
      <c r="AC3" s="44" t="n"/>
      <c r="AD3" s="44" t="n"/>
      <c r="AE3" s="44" t="n"/>
      <c r="AF3" s="45" t="n"/>
      <c r="AG3" s="42" t="inlineStr">
        <is>
          <t>—</t>
        </is>
      </c>
      <c r="AH3" s="42">
        <f>COUNTIF(G3:AF3,"X")</f>
        <v/>
      </c>
      <c r="AI3" s="42" t="inlineStr">
        <is>
          <t>—</t>
        </is>
      </c>
    </row>
    <row r="4">
      <c r="A4" s="39" t="inlineStr">
        <is>
          <t>TOP10</t>
        </is>
      </c>
      <c r="B4" s="40" t="inlineStr">
        <is>
          <t>Elaboracion y envio del informe semanal TOP10</t>
        </is>
      </c>
      <c r="C4" s="41" t="inlineStr">
        <is>
          <t>Filtrar por Total Operados y extraer el TOP10 de clientes</t>
        </is>
      </c>
      <c r="D4" s="42" t="inlineStr">
        <is>
          <t>Semanal</t>
        </is>
      </c>
      <c r="E4" s="42" t="inlineStr">
        <is>
          <t>A confirmar</t>
        </is>
      </c>
      <c r="F4" s="43" t="inlineStr">
        <is>
          <t>Fija</t>
        </is>
      </c>
      <c r="G4" s="44" t="n"/>
      <c r="H4" s="45" t="n"/>
      <c r="I4" s="44" t="n"/>
      <c r="J4" s="44" t="n"/>
      <c r="K4" s="44" t="n"/>
      <c r="L4" s="44" t="n"/>
      <c r="M4" s="44" t="n"/>
      <c r="N4" s="45" t="n"/>
      <c r="O4" s="44" t="n"/>
      <c r="P4" s="44" t="n"/>
      <c r="Q4" s="44" t="n"/>
      <c r="R4" s="44" t="n"/>
      <c r="S4" s="44" t="n"/>
      <c r="T4" s="45" t="n"/>
      <c r="U4" s="44" t="n"/>
      <c r="V4" s="44" t="n"/>
      <c r="W4" s="44" t="n"/>
      <c r="X4" s="44" t="n"/>
      <c r="Y4" s="44" t="n"/>
      <c r="Z4" s="45" t="n"/>
      <c r="AA4" s="44" t="n"/>
      <c r="AB4" s="44" t="n"/>
      <c r="AC4" s="44" t="n"/>
      <c r="AD4" s="44" t="n"/>
      <c r="AE4" s="44" t="n"/>
      <c r="AF4" s="45" t="n"/>
      <c r="AG4" s="42" t="inlineStr">
        <is>
          <t>—</t>
        </is>
      </c>
      <c r="AH4" s="42">
        <f>COUNTIF(G4:AF4,"X")</f>
        <v/>
      </c>
      <c r="AI4" s="42" t="inlineStr">
        <is>
          <t>—</t>
        </is>
      </c>
    </row>
    <row r="5">
      <c r="A5" s="39" t="inlineStr">
        <is>
          <t>TOP10</t>
        </is>
      </c>
      <c r="B5" s="40" t="inlineStr">
        <is>
          <t>Elaboracion y envio del informe semanal TOP10</t>
        </is>
      </c>
      <c r="C5" s="41" t="inlineStr">
        <is>
          <t>Actualizar planilla Evento Semana por Semana (nueva hoja+formato)</t>
        </is>
      </c>
      <c r="D5" s="42" t="inlineStr">
        <is>
          <t>Semanal</t>
        </is>
      </c>
      <c r="E5" s="42" t="inlineStr">
        <is>
          <t>A confirmar</t>
        </is>
      </c>
      <c r="F5" s="43" t="inlineStr">
        <is>
          <t>Fija</t>
        </is>
      </c>
      <c r="G5" s="44" t="n"/>
      <c r="H5" s="45" t="n"/>
      <c r="I5" s="44" t="n"/>
      <c r="J5" s="44" t="n"/>
      <c r="K5" s="44" t="n"/>
      <c r="L5" s="44" t="n"/>
      <c r="M5" s="44" t="n"/>
      <c r="N5" s="45" t="n"/>
      <c r="O5" s="44" t="n"/>
      <c r="P5" s="44" t="n"/>
      <c r="Q5" s="44" t="n"/>
      <c r="R5" s="44" t="n"/>
      <c r="S5" s="44" t="n"/>
      <c r="T5" s="45" t="n"/>
      <c r="U5" s="44" t="n"/>
      <c r="V5" s="44" t="n"/>
      <c r="W5" s="44" t="n"/>
      <c r="X5" s="44" t="n"/>
      <c r="Y5" s="44" t="n"/>
      <c r="Z5" s="45" t="n"/>
      <c r="AA5" s="44" t="n"/>
      <c r="AB5" s="44" t="n"/>
      <c r="AC5" s="44" t="n"/>
      <c r="AD5" s="44" t="n"/>
      <c r="AE5" s="44" t="n"/>
      <c r="AF5" s="45" t="n"/>
      <c r="AG5" s="42" t="inlineStr">
        <is>
          <t>—</t>
        </is>
      </c>
      <c r="AH5" s="42">
        <f>COUNTIF(G5:AF5,"X")</f>
        <v/>
      </c>
      <c r="AI5" s="42" t="inlineStr">
        <is>
          <t>—</t>
        </is>
      </c>
    </row>
    <row r="6">
      <c r="A6" s="39" t="inlineStr">
        <is>
          <t>TOP10</t>
        </is>
      </c>
      <c r="B6" s="40" t="inlineStr">
        <is>
          <t>Elaboracion y envio del informe semanal TOP10</t>
        </is>
      </c>
      <c r="C6" s="41" t="inlineStr">
        <is>
          <t>Completar fila de la semana en Eventos por Semana (indicadores)</t>
        </is>
      </c>
      <c r="D6" s="42" t="inlineStr">
        <is>
          <t>Semanal</t>
        </is>
      </c>
      <c r="E6" s="42" t="inlineStr">
        <is>
          <t>A confirmar</t>
        </is>
      </c>
      <c r="F6" s="43" t="inlineStr">
        <is>
          <t>Fija</t>
        </is>
      </c>
      <c r="G6" s="44" t="n"/>
      <c r="H6" s="45" t="n"/>
      <c r="I6" s="44" t="n"/>
      <c r="J6" s="44" t="n"/>
      <c r="K6" s="44" t="n"/>
      <c r="L6" s="44" t="n"/>
      <c r="M6" s="44" t="n"/>
      <c r="N6" s="45" t="n"/>
      <c r="O6" s="44" t="n"/>
      <c r="P6" s="44" t="n"/>
      <c r="Q6" s="44" t="n"/>
      <c r="R6" s="44" t="n"/>
      <c r="S6" s="44" t="n"/>
      <c r="T6" s="45" t="n"/>
      <c r="U6" s="44" t="n"/>
      <c r="V6" s="44" t="n"/>
      <c r="W6" s="44" t="n"/>
      <c r="X6" s="44" t="n"/>
      <c r="Y6" s="44" t="n"/>
      <c r="Z6" s="45" t="n"/>
      <c r="AA6" s="44" t="n"/>
      <c r="AB6" s="44" t="n"/>
      <c r="AC6" s="44" t="n"/>
      <c r="AD6" s="44" t="n"/>
      <c r="AE6" s="44" t="n"/>
      <c r="AF6" s="45" t="n"/>
      <c r="AG6" s="42" t="inlineStr">
        <is>
          <t>—</t>
        </is>
      </c>
      <c r="AH6" s="42">
        <f>COUNTIF(G6:AF6,"X")</f>
        <v/>
      </c>
      <c r="AI6" s="42" t="inlineStr">
        <is>
          <t>—</t>
        </is>
      </c>
    </row>
    <row r="7">
      <c r="A7" s="39" t="inlineStr">
        <is>
          <t>TOP10</t>
        </is>
      </c>
      <c r="B7" s="40" t="inlineStr">
        <is>
          <t>Elaboracion y envio del informe semanal TOP10</t>
        </is>
      </c>
      <c r="C7" s="41" t="inlineStr">
        <is>
          <t>Completar hoja Analisis TOP10</t>
        </is>
      </c>
      <c r="D7" s="42" t="inlineStr">
        <is>
          <t>Semanal</t>
        </is>
      </c>
      <c r="E7" s="42" t="inlineStr">
        <is>
          <t>A confirmar</t>
        </is>
      </c>
      <c r="F7" s="43" t="inlineStr">
        <is>
          <t>Fija</t>
        </is>
      </c>
      <c r="G7" s="44" t="n"/>
      <c r="H7" s="45" t="n"/>
      <c r="I7" s="44" t="n"/>
      <c r="J7" s="44" t="n"/>
      <c r="K7" s="44" t="n"/>
      <c r="L7" s="44" t="n"/>
      <c r="M7" s="44" t="n"/>
      <c r="N7" s="45" t="n"/>
      <c r="O7" s="44" t="n"/>
      <c r="P7" s="44" t="n"/>
      <c r="Q7" s="44" t="n"/>
      <c r="R7" s="44" t="n"/>
      <c r="S7" s="44" t="n"/>
      <c r="T7" s="45" t="n"/>
      <c r="U7" s="44" t="n"/>
      <c r="V7" s="44" t="n"/>
      <c r="W7" s="44" t="n"/>
      <c r="X7" s="44" t="n"/>
      <c r="Y7" s="44" t="n"/>
      <c r="Z7" s="45" t="n"/>
      <c r="AA7" s="44" t="n"/>
      <c r="AB7" s="44" t="n"/>
      <c r="AC7" s="44" t="n"/>
      <c r="AD7" s="44" t="n"/>
      <c r="AE7" s="44" t="n"/>
      <c r="AF7" s="45" t="n"/>
      <c r="AG7" s="42" t="inlineStr">
        <is>
          <t>—</t>
        </is>
      </c>
      <c r="AH7" s="42">
        <f>COUNTIF(G7:AF7,"X")</f>
        <v/>
      </c>
      <c r="AI7" s="42" t="inlineStr">
        <is>
          <t>—</t>
        </is>
      </c>
    </row>
    <row r="8">
      <c r="A8" s="39" t="inlineStr">
        <is>
          <t>TOP10</t>
        </is>
      </c>
      <c r="B8" s="40" t="inlineStr">
        <is>
          <t>Elaboracion y envio del informe semanal TOP10</t>
        </is>
      </c>
      <c r="C8" s="41" t="inlineStr">
        <is>
          <t>Redactar correo del informe TOP10 con cuadros y enlaces</t>
        </is>
      </c>
      <c r="D8" s="42" t="inlineStr">
        <is>
          <t>Semanal</t>
        </is>
      </c>
      <c r="E8" s="42" t="inlineStr">
        <is>
          <t>A confirmar</t>
        </is>
      </c>
      <c r="F8" s="43" t="inlineStr">
        <is>
          <t>Fija</t>
        </is>
      </c>
      <c r="G8" s="44" t="n"/>
      <c r="H8" s="45" t="n"/>
      <c r="I8" s="44" t="n"/>
      <c r="J8" s="44" t="n"/>
      <c r="K8" s="44" t="n"/>
      <c r="L8" s="44" t="n"/>
      <c r="M8" s="44" t="n"/>
      <c r="N8" s="45" t="n"/>
      <c r="O8" s="44" t="n"/>
      <c r="P8" s="44" t="n"/>
      <c r="Q8" s="44" t="n"/>
      <c r="R8" s="44" t="n"/>
      <c r="S8" s="44" t="n"/>
      <c r="T8" s="45" t="n"/>
      <c r="U8" s="44" t="n"/>
      <c r="V8" s="44" t="n"/>
      <c r="W8" s="44" t="n"/>
      <c r="X8" s="44" t="n"/>
      <c r="Y8" s="44" t="n"/>
      <c r="Z8" s="45" t="n"/>
      <c r="AA8" s="44" t="n"/>
      <c r="AB8" s="44" t="n"/>
      <c r="AC8" s="44" t="n"/>
      <c r="AD8" s="44" t="n"/>
      <c r="AE8" s="44" t="n"/>
      <c r="AF8" s="45" t="n"/>
      <c r="AG8" s="42" t="inlineStr">
        <is>
          <t>—</t>
        </is>
      </c>
      <c r="AH8" s="42">
        <f>COUNTIF(G8:AF8,"X")</f>
        <v/>
      </c>
      <c r="AI8" s="42" t="inlineStr">
        <is>
          <t>—</t>
        </is>
      </c>
    </row>
    <row r="9">
      <c r="A9" s="39" t="inlineStr">
        <is>
          <t>TOP10</t>
        </is>
      </c>
      <c r="B9" s="40" t="inlineStr">
        <is>
          <t>Elaboracion y envio del informe semanal TOP10</t>
        </is>
      </c>
      <c r="C9" s="41" t="inlineStr">
        <is>
          <t>Enviar correo del informe TOP10 a DIR/TEC/AYL</t>
        </is>
      </c>
      <c r="D9" s="42" t="inlineStr">
        <is>
          <t>Semanal</t>
        </is>
      </c>
      <c r="E9" s="42" t="inlineStr">
        <is>
          <t>A confirmar</t>
        </is>
      </c>
      <c r="F9" s="43" t="inlineStr">
        <is>
          <t>Fija</t>
        </is>
      </c>
      <c r="G9" s="44" t="n"/>
      <c r="H9" s="45" t="n"/>
      <c r="I9" s="44" t="n"/>
      <c r="J9" s="44" t="n"/>
      <c r="K9" s="44" t="n"/>
      <c r="L9" s="44" t="n"/>
      <c r="M9" s="44" t="n"/>
      <c r="N9" s="45" t="n"/>
      <c r="O9" s="44" t="n"/>
      <c r="P9" s="44" t="n"/>
      <c r="Q9" s="44" t="n"/>
      <c r="R9" s="44" t="n"/>
      <c r="S9" s="44" t="n"/>
      <c r="T9" s="45" t="n"/>
      <c r="U9" s="44" t="n"/>
      <c r="V9" s="44" t="n"/>
      <c r="W9" s="44" t="n"/>
      <c r="X9" s="44" t="n"/>
      <c r="Y9" s="44" t="n"/>
      <c r="Z9" s="45" t="n"/>
      <c r="AA9" s="44" t="n"/>
      <c r="AB9" s="44" t="n"/>
      <c r="AC9" s="44" t="n"/>
      <c r="AD9" s="44" t="n"/>
      <c r="AE9" s="44" t="n"/>
      <c r="AF9" s="45" t="n"/>
      <c r="AG9" s="42" t="inlineStr">
        <is>
          <t>—</t>
        </is>
      </c>
      <c r="AH9" s="42">
        <f>COUNTIF(G9:AF9,"X")</f>
        <v/>
      </c>
      <c r="AI9" s="42" t="inlineStr">
        <is>
          <t>—</t>
        </is>
      </c>
    </row>
    <row r="10">
      <c r="A10" s="39" t="inlineStr">
        <is>
          <t>TOP10</t>
        </is>
      </c>
      <c r="B10" s="40" t="inlineStr">
        <is>
          <t>Elaboracion y envio del informe semanal TOP10</t>
        </is>
      </c>
      <c r="C10" s="41" t="inlineStr">
        <is>
          <t>Indagar y documentar la gestion realizada con cada cliente del TOP10</t>
        </is>
      </c>
      <c r="D10" s="42" t="inlineStr">
        <is>
          <t>Semanal</t>
        </is>
      </c>
      <c r="E10" s="42" t="inlineStr">
        <is>
          <t>A confirmar</t>
        </is>
      </c>
      <c r="F10" s="43" t="inlineStr">
        <is>
          <t>Fija</t>
        </is>
      </c>
      <c r="G10" s="44" t="n"/>
      <c r="H10" s="45" t="n"/>
      <c r="I10" s="44" t="n"/>
      <c r="J10" s="44" t="n"/>
      <c r="K10" s="44" t="n"/>
      <c r="L10" s="44" t="n"/>
      <c r="M10" s="44" t="n"/>
      <c r="N10" s="45" t="n"/>
      <c r="O10" s="44" t="n"/>
      <c r="P10" s="44" t="n"/>
      <c r="Q10" s="44" t="n"/>
      <c r="R10" s="44" t="n"/>
      <c r="S10" s="44" t="n"/>
      <c r="T10" s="45" t="n"/>
      <c r="U10" s="44" t="n"/>
      <c r="V10" s="44" t="n"/>
      <c r="W10" s="44" t="n"/>
      <c r="X10" s="44" t="n"/>
      <c r="Y10" s="44" t="n"/>
      <c r="Z10" s="45" t="n"/>
      <c r="AA10" s="44" t="n"/>
      <c r="AB10" s="44" t="n"/>
      <c r="AC10" s="44" t="n"/>
      <c r="AD10" s="44" t="n"/>
      <c r="AE10" s="44" t="n"/>
      <c r="AF10" s="45" t="n"/>
      <c r="AG10" s="42" t="inlineStr">
        <is>
          <t>—</t>
        </is>
      </c>
      <c r="AH10" s="42">
        <f>COUNTIF(G10:AF10,"X")</f>
        <v/>
      </c>
      <c r="AI10" s="42" t="inlineStr">
        <is>
          <t>—</t>
        </is>
      </c>
    </row>
    <row r="11">
      <c r="A11" s="39" t="inlineStr">
        <is>
          <t>TOP10</t>
        </is>
      </c>
      <c r="B11" s="40" t="inlineStr">
        <is>
          <t>Elaboracion y envio del informe semanal TOP10</t>
        </is>
      </c>
      <c r="C11" s="41" t="inlineStr">
        <is>
          <t>Actualizar seguimiento del TOP10 de la semana anterior (Control Semana por Semana)</t>
        </is>
      </c>
      <c r="D11" s="42" t="inlineStr">
        <is>
          <t>Semanal</t>
        </is>
      </c>
      <c r="E11" s="42" t="inlineStr">
        <is>
          <t>A confirmar</t>
        </is>
      </c>
      <c r="F11" s="43" t="inlineStr">
        <is>
          <t>Fija</t>
        </is>
      </c>
      <c r="G11" s="44" t="n"/>
      <c r="H11" s="45" t="n"/>
      <c r="I11" s="44" t="n"/>
      <c r="J11" s="44" t="n"/>
      <c r="K11" s="44" t="n"/>
      <c r="L11" s="44" t="n"/>
      <c r="M11" s="44" t="n"/>
      <c r="N11" s="45" t="n"/>
      <c r="O11" s="44" t="n"/>
      <c r="P11" s="44" t="n"/>
      <c r="Q11" s="44" t="n"/>
      <c r="R11" s="44" t="n"/>
      <c r="S11" s="44" t="n"/>
      <c r="T11" s="45" t="n"/>
      <c r="U11" s="44" t="n"/>
      <c r="V11" s="44" t="n"/>
      <c r="W11" s="44" t="n"/>
      <c r="X11" s="44" t="n"/>
      <c r="Y11" s="44" t="n"/>
      <c r="Z11" s="45" t="n"/>
      <c r="AA11" s="44" t="n"/>
      <c r="AB11" s="44" t="n"/>
      <c r="AC11" s="44" t="n"/>
      <c r="AD11" s="44" t="n"/>
      <c r="AE11" s="44" t="n"/>
      <c r="AF11" s="45" t="n"/>
      <c r="AG11" s="42" t="inlineStr">
        <is>
          <t>—</t>
        </is>
      </c>
      <c r="AH11" s="42">
        <f>COUNTIF(G11:AF11,"X")</f>
        <v/>
      </c>
      <c r="AI11" s="42" t="inlineStr">
        <is>
          <t>—</t>
        </is>
      </c>
    </row>
    <row r="12">
      <c r="A12" s="39" t="inlineStr">
        <is>
          <t>TOP10</t>
        </is>
      </c>
      <c r="B12" s="40" t="inlineStr">
        <is>
          <t>Elaboracion y envio del informe semanal TOP10</t>
        </is>
      </c>
      <c r="C12" s="41" t="inlineStr">
        <is>
          <t>Enviar respuesta final del informe con observaciones</t>
        </is>
      </c>
      <c r="D12" s="42" t="inlineStr">
        <is>
          <t>Semanal</t>
        </is>
      </c>
      <c r="E12" s="42" t="inlineStr">
        <is>
          <t>A confirmar</t>
        </is>
      </c>
      <c r="F12" s="43" t="inlineStr">
        <is>
          <t>Fija</t>
        </is>
      </c>
      <c r="G12" s="44" t="n"/>
      <c r="H12" s="45" t="n"/>
      <c r="I12" s="44" t="n"/>
      <c r="J12" s="44" t="n"/>
      <c r="K12" s="44" t="n"/>
      <c r="L12" s="44" t="n"/>
      <c r="M12" s="44" t="n"/>
      <c r="N12" s="45" t="n"/>
      <c r="O12" s="44" t="n"/>
      <c r="P12" s="44" t="n"/>
      <c r="Q12" s="44" t="n"/>
      <c r="R12" s="44" t="n"/>
      <c r="S12" s="44" t="n"/>
      <c r="T12" s="45" t="n"/>
      <c r="U12" s="44" t="n"/>
      <c r="V12" s="44" t="n"/>
      <c r="W12" s="44" t="n"/>
      <c r="X12" s="44" t="n"/>
      <c r="Y12" s="44" t="n"/>
      <c r="Z12" s="45" t="n"/>
      <c r="AA12" s="44" t="n"/>
      <c r="AB12" s="44" t="n"/>
      <c r="AC12" s="44" t="n"/>
      <c r="AD12" s="44" t="n"/>
      <c r="AE12" s="44" t="n"/>
      <c r="AF12" s="45" t="n"/>
      <c r="AG12" s="42" t="inlineStr">
        <is>
          <t>—</t>
        </is>
      </c>
      <c r="AH12" s="42">
        <f>COUNTIF(G12:AF12,"X")</f>
        <v/>
      </c>
      <c r="AI12" s="42" t="inlineStr">
        <is>
          <t>—</t>
        </is>
      </c>
    </row>
    <row r="13">
      <c r="A13" s="37" t="inlineStr">
        <is>
          <t>Revision de Eventos Diarios / Red (Viernes)</t>
        </is>
      </c>
      <c r="B13" s="38" t="n"/>
      <c r="C13" s="38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38" t="n"/>
      <c r="O13" s="38" t="n"/>
      <c r="P13" s="38" t="n"/>
      <c r="Q13" s="38" t="n"/>
      <c r="R13" s="38" t="n"/>
      <c r="S13" s="38" t="n"/>
      <c r="T13" s="38" t="n"/>
      <c r="U13" s="38" t="n"/>
      <c r="V13" s="38" t="n"/>
      <c r="W13" s="38" t="n"/>
      <c r="X13" s="38" t="n"/>
      <c r="Y13" s="38" t="n"/>
      <c r="Z13" s="38" t="n"/>
      <c r="AA13" s="38" t="n"/>
      <c r="AB13" s="38" t="n"/>
      <c r="AC13" s="38" t="n"/>
      <c r="AD13" s="38" t="n"/>
      <c r="AE13" s="38" t="n"/>
      <c r="AF13" s="38" t="n"/>
      <c r="AG13" s="38" t="n"/>
      <c r="AH13" s="38" t="n"/>
      <c r="AI13" s="38" t="n"/>
    </row>
    <row r="14">
      <c r="A14" s="39" t="inlineStr">
        <is>
          <t>Revision de Eventos Diarios / Red</t>
        </is>
      </c>
      <c r="B14" s="40" t="inlineStr">
        <is>
          <t>Pendiente de desglose</t>
        </is>
      </c>
      <c r="C14" s="41" t="inlineStr">
        <is>
          <t>Pendiente de desglose (a detallar con RM)</t>
        </is>
      </c>
      <c r="D14" s="42" t="inlineStr">
        <is>
          <t>Semanal (viernes)</t>
        </is>
      </c>
      <c r="E14" s="42" t="inlineStr">
        <is>
          <t>A confirmar</t>
        </is>
      </c>
      <c r="F14" s="43" t="inlineStr">
        <is>
          <t>Fija</t>
        </is>
      </c>
      <c r="G14" s="44" t="n"/>
      <c r="H14" s="44" t="n"/>
      <c r="I14" s="44" t="n"/>
      <c r="J14" s="44" t="n"/>
      <c r="K14" s="44" t="n"/>
      <c r="L14" s="45" t="n"/>
      <c r="M14" s="44" t="n"/>
      <c r="N14" s="44" t="n"/>
      <c r="O14" s="44" t="n"/>
      <c r="P14" s="44" t="n"/>
      <c r="Q14" s="44" t="n"/>
      <c r="R14" s="45" t="n"/>
      <c r="S14" s="44" t="n"/>
      <c r="T14" s="44" t="n"/>
      <c r="U14" s="44" t="n"/>
      <c r="V14" s="44" t="n"/>
      <c r="W14" s="44" t="n"/>
      <c r="X14" s="45" t="n"/>
      <c r="Y14" s="44" t="n"/>
      <c r="Z14" s="44" t="n"/>
      <c r="AA14" s="44" t="n"/>
      <c r="AB14" s="44" t="n"/>
      <c r="AC14" s="44" t="n"/>
      <c r="AD14" s="45" t="n"/>
      <c r="AE14" s="44" t="n"/>
      <c r="AF14" s="44" t="n"/>
      <c r="AG14" s="42" t="inlineStr">
        <is>
          <t>—</t>
        </is>
      </c>
      <c r="AH14" s="42">
        <f>COUNTIF(G14:AF14,"X")</f>
        <v/>
      </c>
      <c r="AI14" s="42" t="inlineStr">
        <is>
          <t>—</t>
        </is>
      </c>
    </row>
    <row r="15">
      <c r="A15" s="39" t="inlineStr">
        <is>
          <t>Revision de Eventos Diarios / Red</t>
        </is>
      </c>
      <c r="B15" s="40" t="inlineStr">
        <is>
          <t>Pendiente de desglose</t>
        </is>
      </c>
      <c r="C15" s="41" t="inlineStr">
        <is>
          <t>Pendiente de desglose (a detallar con RM)</t>
        </is>
      </c>
      <c r="D15" s="42" t="inlineStr">
        <is>
          <t>Diaria</t>
        </is>
      </c>
      <c r="E15" s="42" t="inlineStr">
        <is>
          <t>A confirmar</t>
        </is>
      </c>
      <c r="F15" s="43" t="inlineStr">
        <is>
          <t>Fija</t>
        </is>
      </c>
      <c r="G15" s="44" t="n"/>
      <c r="H15" s="44" t="n"/>
      <c r="I15" s="44" t="n"/>
      <c r="J15" s="44" t="n"/>
      <c r="K15" s="44" t="n"/>
      <c r="L15" s="45" t="n"/>
      <c r="M15" s="44" t="n"/>
      <c r="N15" s="44" t="n"/>
      <c r="O15" s="44" t="n"/>
      <c r="P15" s="44" t="n"/>
      <c r="Q15" s="44" t="n"/>
      <c r="R15" s="45" t="n"/>
      <c r="S15" s="44" t="n"/>
      <c r="T15" s="44" t="n"/>
      <c r="U15" s="44" t="n"/>
      <c r="V15" s="44" t="n"/>
      <c r="W15" s="44" t="n"/>
      <c r="X15" s="45" t="n"/>
      <c r="Y15" s="44" t="n"/>
      <c r="Z15" s="44" t="n"/>
      <c r="AA15" s="44" t="n"/>
      <c r="AB15" s="44" t="n"/>
      <c r="AC15" s="44" t="n"/>
      <c r="AD15" s="45" t="n"/>
      <c r="AE15" s="44" t="n"/>
      <c r="AF15" s="44" t="n"/>
      <c r="AG15" s="42" t="inlineStr">
        <is>
          <t>—</t>
        </is>
      </c>
      <c r="AH15" s="42">
        <f>COUNTIF(G15:AF15,"X")</f>
        <v/>
      </c>
      <c r="AI15" s="42" t="inlineStr">
        <is>
          <t>—</t>
        </is>
      </c>
    </row>
    <row r="16">
      <c r="A16" s="37" t="inlineStr">
        <is>
          <t>Rutina Administrativa Diaria (RM)</t>
        </is>
      </c>
      <c r="B16" s="38" t="n"/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8" t="n"/>
      <c r="Q16" s="38" t="n"/>
      <c r="R16" s="38" t="n"/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38" t="n"/>
      <c r="AC16" s="38" t="n"/>
      <c r="AD16" s="38" t="n"/>
      <c r="AE16" s="38" t="n"/>
      <c r="AF16" s="38" t="n"/>
      <c r="AG16" s="38" t="n"/>
      <c r="AH16" s="38" t="n"/>
      <c r="AI16" s="38" t="n"/>
    </row>
    <row r="17">
      <c r="A17" s="39" t="inlineStr">
        <is>
          <t>Rutina Administrativa Diaria (RM)</t>
        </is>
      </c>
      <c r="B17" s="40" t="inlineStr">
        <is>
          <t>N/A</t>
        </is>
      </c>
      <c r="C17" s="41" t="inlineStr">
        <is>
          <t>Aviso y coordinacion con ST</t>
        </is>
      </c>
      <c r="D17" s="42" t="inlineStr">
        <is>
          <t>Diario</t>
        </is>
      </c>
      <c r="E17" s="42" t="n">
        <v>45</v>
      </c>
      <c r="F17" s="43" t="inlineStr">
        <is>
          <t>Fija</t>
        </is>
      </c>
      <c r="G17" s="45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2" t="n">
        <v>19.5</v>
      </c>
      <c r="AH17" s="42">
        <f>COUNTIF(G17:AF17,"X")*45.0/60</f>
        <v/>
      </c>
      <c r="AI17" s="42">
        <f>AH17-AG17</f>
        <v/>
      </c>
    </row>
    <row r="18">
      <c r="A18" s="39" t="inlineStr">
        <is>
          <t>Rutina Administrativa Diaria (RM)</t>
        </is>
      </c>
      <c r="B18" s="40" t="inlineStr">
        <is>
          <t>N/A</t>
        </is>
      </c>
      <c r="C18" s="41" t="inlineStr">
        <is>
          <t>Subir informe de tareas diarias</t>
        </is>
      </c>
      <c r="D18" s="42" t="inlineStr">
        <is>
          <t>Diario</t>
        </is>
      </c>
      <c r="E18" s="42" t="n">
        <v>5</v>
      </c>
      <c r="F18" s="43" t="inlineStr">
        <is>
          <t>Fija</t>
        </is>
      </c>
      <c r="G18" s="45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2" t="n">
        <v>2.17</v>
      </c>
      <c r="AH18" s="42">
        <f>COUNTIF(G18:AF18,"X")*5.0/60</f>
        <v/>
      </c>
      <c r="AI18" s="42">
        <f>AH18-AG18</f>
        <v/>
      </c>
    </row>
    <row r="19">
      <c r="A19" s="39" t="inlineStr">
        <is>
          <t>Rutina Administrativa Diaria (RM)</t>
        </is>
      </c>
      <c r="B19" s="40" t="inlineStr">
        <is>
          <t>N/A</t>
        </is>
      </c>
      <c r="C19" s="41" t="inlineStr">
        <is>
          <t>Chequeo de ST realizados en el dia</t>
        </is>
      </c>
      <c r="D19" s="42" t="inlineStr">
        <is>
          <t>Diario</t>
        </is>
      </c>
      <c r="E19" s="42" t="n">
        <v>15</v>
      </c>
      <c r="F19" s="43" t="inlineStr">
        <is>
          <t>Fija</t>
        </is>
      </c>
      <c r="G19" s="45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2" t="n">
        <v>6.5</v>
      </c>
      <c r="AH19" s="42">
        <f>COUNTIF(G19:AF19,"X")*15.0/60</f>
        <v/>
      </c>
      <c r="AI19" s="42">
        <f>AH19-AG19</f>
        <v/>
      </c>
    </row>
    <row r="20">
      <c r="A20" s="39" t="inlineStr">
        <is>
          <t>Rutina Administrativa Diaria (RM)</t>
        </is>
      </c>
      <c r="B20" s="40" t="inlineStr">
        <is>
          <t>N/A</t>
        </is>
      </c>
      <c r="C20" s="41" t="inlineStr">
        <is>
          <t>Contestar mensajes de clientes/mail (primera hora)</t>
        </is>
      </c>
      <c r="D20" s="42" t="inlineStr">
        <is>
          <t>Diario</t>
        </is>
      </c>
      <c r="E20" s="42" t="n">
        <v>60</v>
      </c>
      <c r="F20" s="43" t="inlineStr">
        <is>
          <t>Fija</t>
        </is>
      </c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2" t="n">
        <v>26</v>
      </c>
      <c r="AH20" s="42">
        <f>COUNTIF(G20:AF20,"X")*60.0/60</f>
        <v/>
      </c>
      <c r="AI20" s="42">
        <f>AH20-AG20</f>
        <v/>
      </c>
    </row>
    <row r="21">
      <c r="A21" s="39" t="inlineStr">
        <is>
          <t>Rutina Administrativa Diaria (RM)</t>
        </is>
      </c>
      <c r="B21" s="40" t="inlineStr">
        <is>
          <t>N/A</t>
        </is>
      </c>
      <c r="C21" s="41" t="inlineStr">
        <is>
          <t>Revisar planilla de Procesos (primera hora)</t>
        </is>
      </c>
      <c r="D21" s="42" t="inlineStr">
        <is>
          <t>Diario</t>
        </is>
      </c>
      <c r="E21" s="42" t="n">
        <v>1</v>
      </c>
      <c r="F21" s="43" t="inlineStr">
        <is>
          <t>Fija</t>
        </is>
      </c>
      <c r="G21" s="45" t="n"/>
      <c r="H21" s="45" t="n"/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2" t="n">
        <v>0.43</v>
      </c>
      <c r="AH21" s="42">
        <f>COUNTIF(G21:AF21,"X")*1.0/60</f>
        <v/>
      </c>
      <c r="AI21" s="42">
        <f>AH21-AG21</f>
        <v/>
      </c>
    </row>
    <row r="22">
      <c r="A22" s="39" t="inlineStr">
        <is>
          <t>Rutina Administrativa Diaria (RM)</t>
        </is>
      </c>
      <c r="B22" s="40" t="inlineStr">
        <is>
          <t>N/A</t>
        </is>
      </c>
      <c r="C22" s="41" t="inlineStr">
        <is>
          <t>Revisar planilla de Procesos (ultima hora)</t>
        </is>
      </c>
      <c r="D22" s="42" t="inlineStr">
        <is>
          <t>Diario</t>
        </is>
      </c>
      <c r="E22" s="42" t="n">
        <v>1</v>
      </c>
      <c r="F22" s="43" t="inlineStr">
        <is>
          <t>Fija</t>
        </is>
      </c>
      <c r="G22" s="45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2" t="n">
        <v>0.43</v>
      </c>
      <c r="AH22" s="42">
        <f>COUNTIF(G22:AF22,"X")*1.0/60</f>
        <v/>
      </c>
      <c r="AI22" s="42">
        <f>AH22-AG22</f>
        <v/>
      </c>
    </row>
    <row r="23">
      <c r="A23" s="37" t="inlineStr">
        <is>
          <t>Coordinacion de Guardia</t>
        </is>
      </c>
      <c r="B23" s="38" t="n"/>
      <c r="C23" s="38" t="n"/>
      <c r="D23" s="38" t="n"/>
      <c r="E23" s="38" t="n"/>
      <c r="F23" s="38" t="n"/>
      <c r="G23" s="38" t="n"/>
      <c r="H23" s="38" t="n"/>
      <c r="I23" s="38" t="n"/>
      <c r="J23" s="38" t="n"/>
      <c r="K23" s="38" t="n"/>
      <c r="L23" s="38" t="n"/>
      <c r="M23" s="38" t="n"/>
      <c r="N23" s="38" t="n"/>
      <c r="O23" s="38" t="n"/>
      <c r="P23" s="38" t="n"/>
      <c r="Q23" s="38" t="n"/>
      <c r="R23" s="38" t="n"/>
      <c r="S23" s="38" t="n"/>
      <c r="T23" s="38" t="n"/>
      <c r="U23" s="38" t="n"/>
      <c r="V23" s="38" t="n"/>
      <c r="W23" s="38" t="n"/>
      <c r="X23" s="38" t="n"/>
      <c r="Y23" s="38" t="n"/>
      <c r="Z23" s="38" t="n"/>
      <c r="AA23" s="38" t="n"/>
      <c r="AB23" s="38" t="n"/>
      <c r="AC23" s="38" t="n"/>
      <c r="AD23" s="38" t="n"/>
      <c r="AE23" s="38" t="n"/>
      <c r="AF23" s="38" t="n"/>
      <c r="AG23" s="38" t="n"/>
      <c r="AH23" s="38" t="n"/>
      <c r="AI23" s="38" t="n"/>
    </row>
    <row r="24">
      <c r="A24" s="39" t="inlineStr">
        <is>
          <t>Coordinacion de Guardia</t>
        </is>
      </c>
      <c r="B24" s="40" t="inlineStr">
        <is>
          <t>Coordinacion de Guardia</t>
        </is>
      </c>
      <c r="C24" s="41" t="inlineStr">
        <is>
          <t>Recepcion de N de Ticket</t>
        </is>
      </c>
      <c r="D24" s="42" t="inlineStr">
        <is>
          <t>Mensual</t>
        </is>
      </c>
      <c r="E24" s="42" t="n">
        <v>15</v>
      </c>
      <c r="F24" s="43" t="inlineStr">
        <is>
          <t>Fija</t>
        </is>
      </c>
      <c r="G24" s="45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  <c r="AE24" s="44" t="n"/>
      <c r="AF24" s="44" t="n"/>
      <c r="AG24" s="42" t="n">
        <v>0.25</v>
      </c>
      <c r="AH24" s="42">
        <f>COUNTIF(G24:AF24,"X")*15.0/60</f>
        <v/>
      </c>
      <c r="AI24" s="42">
        <f>AH24-AG24</f>
        <v/>
      </c>
    </row>
    <row r="25">
      <c r="A25" s="39" t="inlineStr">
        <is>
          <t>Coordinacion de Guardia</t>
        </is>
      </c>
      <c r="B25" s="40" t="inlineStr">
        <is>
          <t>Coordinacion de Guardia</t>
        </is>
      </c>
      <c r="C25" s="41" t="inlineStr">
        <is>
          <t>Compartir N de Ticket en WhatsApp y Telegram</t>
        </is>
      </c>
      <c r="D25" s="42" t="inlineStr">
        <is>
          <t>Mensual</t>
        </is>
      </c>
      <c r="E25" s="42" t="n">
        <v>5</v>
      </c>
      <c r="F25" s="43" t="inlineStr">
        <is>
          <t>Fija</t>
        </is>
      </c>
      <c r="G25" s="45" t="n"/>
      <c r="H25" s="44" t="n"/>
      <c r="I25" s="44" t="n"/>
      <c r="J25" s="44" t="n"/>
      <c r="K25" s="44" t="n"/>
      <c r="L25" s="44" t="n"/>
      <c r="M25" s="44" t="n"/>
      <c r="N25" s="44" t="n"/>
      <c r="O25" s="44" t="n"/>
      <c r="P25" s="44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  <c r="AE25" s="44" t="n"/>
      <c r="AF25" s="44" t="n"/>
      <c r="AG25" s="42" t="n">
        <v>0.08</v>
      </c>
      <c r="AH25" s="42">
        <f>COUNTIF(G25:AF25,"X")*5.0/60</f>
        <v/>
      </c>
      <c r="AI25" s="42">
        <f>AH25-AG25</f>
        <v/>
      </c>
    </row>
    <row r="26">
      <c r="A26" s="39" t="inlineStr">
        <is>
          <t>Coordinacion de Guardia</t>
        </is>
      </c>
      <c r="B26" s="40" t="inlineStr">
        <is>
          <t>Coordinacion de Guardia</t>
        </is>
      </c>
      <c r="C26" s="41" t="inlineStr">
        <is>
          <t>Coordinacion de guardia CM</t>
        </is>
      </c>
      <c r="D26" s="42" t="inlineStr">
        <is>
          <t>Semanal</t>
        </is>
      </c>
      <c r="E26" s="42" t="n">
        <v>15</v>
      </c>
      <c r="F26" s="43" t="inlineStr">
        <is>
          <t>Fija</t>
        </is>
      </c>
      <c r="G26" s="44" t="n"/>
      <c r="H26" s="44" t="n"/>
      <c r="I26" s="44" t="n"/>
      <c r="J26" s="45" t="n"/>
      <c r="K26" s="44" t="n"/>
      <c r="L26" s="44" t="n"/>
      <c r="M26" s="44" t="n"/>
      <c r="N26" s="44" t="n"/>
      <c r="O26" s="44" t="n"/>
      <c r="P26" s="45" t="n"/>
      <c r="Q26" s="44" t="n"/>
      <c r="R26" s="44" t="n"/>
      <c r="S26" s="44" t="n"/>
      <c r="T26" s="44" t="n"/>
      <c r="U26" s="44" t="n"/>
      <c r="V26" s="45" t="n"/>
      <c r="W26" s="44" t="n"/>
      <c r="X26" s="44" t="n"/>
      <c r="Y26" s="44" t="n"/>
      <c r="Z26" s="44" t="n"/>
      <c r="AA26" s="44" t="n"/>
      <c r="AB26" s="45" t="n"/>
      <c r="AC26" s="44" t="n"/>
      <c r="AD26" s="44" t="n"/>
      <c r="AE26" s="44" t="n"/>
      <c r="AF26" s="44" t="n"/>
      <c r="AG26" s="42" t="n">
        <v>1</v>
      </c>
      <c r="AH26" s="42">
        <f>COUNTIF(G26:AF26,"X")*15.0/60</f>
        <v/>
      </c>
      <c r="AI26" s="42">
        <f>AH26-AG26</f>
        <v/>
      </c>
    </row>
    <row r="27">
      <c r="A27" s="39" t="inlineStr">
        <is>
          <t>Coordinacion de Guardia</t>
        </is>
      </c>
      <c r="B27" s="40" t="inlineStr">
        <is>
          <t>Coordinacion de Guardia</t>
        </is>
      </c>
      <c r="C27" s="41" t="inlineStr">
        <is>
          <t>Agregar tecnico a guardia CM</t>
        </is>
      </c>
      <c r="D27" s="42" t="inlineStr">
        <is>
          <t>Semanal</t>
        </is>
      </c>
      <c r="E27" s="42" t="inlineStr">
        <is>
          <t>A confirmar</t>
        </is>
      </c>
      <c r="F27" s="43" t="inlineStr">
        <is>
          <t>Fija</t>
        </is>
      </c>
      <c r="G27" s="44" t="n"/>
      <c r="H27" s="44" t="n"/>
      <c r="I27" s="44" t="n"/>
      <c r="J27" s="44" t="n"/>
      <c r="K27" s="44" t="n"/>
      <c r="L27" s="45" t="n"/>
      <c r="M27" s="44" t="n"/>
      <c r="N27" s="44" t="n"/>
      <c r="O27" s="44" t="n"/>
      <c r="P27" s="44" t="n"/>
      <c r="Q27" s="44" t="n"/>
      <c r="R27" s="45" t="n"/>
      <c r="S27" s="44" t="n"/>
      <c r="T27" s="44" t="n"/>
      <c r="U27" s="44" t="n"/>
      <c r="V27" s="44" t="n"/>
      <c r="W27" s="44" t="n"/>
      <c r="X27" s="45" t="n"/>
      <c r="Y27" s="44" t="n"/>
      <c r="Z27" s="44" t="n"/>
      <c r="AA27" s="44" t="n"/>
      <c r="AB27" s="44" t="n"/>
      <c r="AC27" s="44" t="n"/>
      <c r="AD27" s="45" t="n"/>
      <c r="AE27" s="44" t="n"/>
      <c r="AF27" s="44" t="n"/>
      <c r="AG27" s="42" t="inlineStr">
        <is>
          <t>—</t>
        </is>
      </c>
      <c r="AH27" s="42">
        <f>COUNTIF(G27:AF27,"X")</f>
        <v/>
      </c>
      <c r="AI27" s="42" t="inlineStr">
        <is>
          <t>—</t>
        </is>
      </c>
    </row>
    <row r="28">
      <c r="A28" s="39" t="inlineStr">
        <is>
          <t>Coordinacion de Guardia</t>
        </is>
      </c>
      <c r="B28" s="40" t="inlineStr">
        <is>
          <t>Coordinacion de Guardia</t>
        </is>
      </c>
      <c r="C28" s="41" t="inlineStr">
        <is>
          <t>Sacar tecnico de guardia CM</t>
        </is>
      </c>
      <c r="D28" s="42" t="inlineStr">
        <is>
          <t>Semanal</t>
        </is>
      </c>
      <c r="E28" s="42" t="inlineStr">
        <is>
          <t>A confirmar</t>
        </is>
      </c>
      <c r="F28" s="43" t="inlineStr">
        <is>
          <t>Fija</t>
        </is>
      </c>
      <c r="G28" s="44" t="n"/>
      <c r="H28" s="44" t="n"/>
      <c r="I28" s="44" t="n"/>
      <c r="J28" s="44" t="n"/>
      <c r="K28" s="44" t="n"/>
      <c r="L28" s="45" t="n"/>
      <c r="M28" s="44" t="n"/>
      <c r="N28" s="44" t="n"/>
      <c r="O28" s="44" t="n"/>
      <c r="P28" s="44" t="n"/>
      <c r="Q28" s="44" t="n"/>
      <c r="R28" s="45" t="n"/>
      <c r="S28" s="44" t="n"/>
      <c r="T28" s="44" t="n"/>
      <c r="U28" s="44" t="n"/>
      <c r="V28" s="44" t="n"/>
      <c r="W28" s="44" t="n"/>
      <c r="X28" s="45" t="n"/>
      <c r="Y28" s="44" t="n"/>
      <c r="Z28" s="44" t="n"/>
      <c r="AA28" s="44" t="n"/>
      <c r="AB28" s="44" t="n"/>
      <c r="AC28" s="44" t="n"/>
      <c r="AD28" s="45" t="n"/>
      <c r="AE28" s="44" t="n"/>
      <c r="AF28" s="44" t="n"/>
      <c r="AG28" s="42" t="inlineStr">
        <is>
          <t>—</t>
        </is>
      </c>
      <c r="AH28" s="42">
        <f>COUNTIF(G28:AF28,"X")</f>
        <v/>
      </c>
      <c r="AI28" s="42" t="inlineStr">
        <is>
          <t>—</t>
        </is>
      </c>
    </row>
    <row r="29">
      <c r="A29" s="37" t="inlineStr">
        <is>
          <t>ODS (Ordenes de Servicio) (Martes)</t>
        </is>
      </c>
      <c r="B29" s="38" t="n"/>
      <c r="C29" s="38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38" t="n"/>
      <c r="M29" s="38" t="n"/>
      <c r="N29" s="38" t="n"/>
      <c r="O29" s="38" t="n"/>
      <c r="P29" s="38" t="n"/>
      <c r="Q29" s="38" t="n"/>
      <c r="R29" s="38" t="n"/>
      <c r="S29" s="38" t="n"/>
      <c r="T29" s="38" t="n"/>
      <c r="U29" s="38" t="n"/>
      <c r="V29" s="38" t="n"/>
      <c r="W29" s="38" t="n"/>
      <c r="X29" s="38" t="n"/>
      <c r="Y29" s="38" t="n"/>
      <c r="Z29" s="38" t="n"/>
      <c r="AA29" s="38" t="n"/>
      <c r="AB29" s="38" t="n"/>
      <c r="AC29" s="38" t="n"/>
      <c r="AD29" s="38" t="n"/>
      <c r="AE29" s="38" t="n"/>
      <c r="AF29" s="38" t="n"/>
      <c r="AG29" s="38" t="n"/>
      <c r="AH29" s="38" t="n"/>
      <c r="AI29" s="38" t="n"/>
    </row>
    <row r="30">
      <c r="A30" s="39" t="inlineStr">
        <is>
          <t>ODS (Ordenes de Servicio)</t>
        </is>
      </c>
      <c r="B30" s="40" t="inlineStr">
        <is>
          <t>OS</t>
        </is>
      </c>
      <c r="C30" s="41" t="inlineStr">
        <is>
          <t>Control e impresion de O.D.S.</t>
        </is>
      </c>
      <c r="D30" s="42" t="inlineStr">
        <is>
          <t>Mensual</t>
        </is>
      </c>
      <c r="E30" s="42" t="n">
        <v>45</v>
      </c>
      <c r="F30" s="43" t="inlineStr">
        <is>
          <t>Fija</t>
        </is>
      </c>
      <c r="G30" s="44" t="n"/>
      <c r="H30" s="44" t="n"/>
      <c r="I30" s="44" t="n"/>
      <c r="J30" s="44" t="n"/>
      <c r="K30" s="44" t="n"/>
      <c r="L30" s="44" t="n"/>
      <c r="M30" s="44" t="n"/>
      <c r="N30" s="44" t="n"/>
      <c r="O30" s="44" t="n"/>
      <c r="P30" s="44" t="n"/>
      <c r="Q30" s="45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  <c r="AE30" s="44" t="n"/>
      <c r="AF30" s="44" t="n"/>
      <c r="AG30" s="42" t="n">
        <v>0.75</v>
      </c>
      <c r="AH30" s="42">
        <f>COUNTIF(G30:AF30,"X")*45.0/60</f>
        <v/>
      </c>
      <c r="AI30" s="42">
        <f>AH30-AG30</f>
        <v/>
      </c>
    </row>
    <row r="31">
      <c r="A31" s="39" t="inlineStr">
        <is>
          <t>ODS (Ordenes de Servicio)</t>
        </is>
      </c>
      <c r="B31" s="40" t="inlineStr">
        <is>
          <t>OS</t>
        </is>
      </c>
      <c r="C31" s="41" t="inlineStr">
        <is>
          <t>Control e impresion de etiquetas de baterias</t>
        </is>
      </c>
      <c r="D31" s="42" t="inlineStr">
        <is>
          <t>Mensual</t>
        </is>
      </c>
      <c r="E31" s="42" t="n">
        <v>45</v>
      </c>
      <c r="F31" s="43" t="inlineStr">
        <is>
          <t>Fija</t>
        </is>
      </c>
      <c r="G31" s="44" t="n"/>
      <c r="H31" s="44" t="n"/>
      <c r="I31" s="44" t="n"/>
      <c r="J31" s="44" t="n"/>
      <c r="K31" s="44" t="n"/>
      <c r="L31" s="44" t="n"/>
      <c r="M31" s="44" t="n"/>
      <c r="N31" s="44" t="n"/>
      <c r="O31" s="44" t="n"/>
      <c r="P31" s="44" t="n"/>
      <c r="Q31" s="45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  <c r="AE31" s="44" t="n"/>
      <c r="AF31" s="44" t="n"/>
      <c r="AG31" s="42" t="n">
        <v>0.75</v>
      </c>
      <c r="AH31" s="42">
        <f>COUNTIF(G31:AF31,"X")*45.0/60</f>
        <v/>
      </c>
      <c r="AI31" s="42">
        <f>AH31-AG31</f>
        <v/>
      </c>
    </row>
    <row r="32">
      <c r="A32" s="39" t="inlineStr">
        <is>
          <t>ODS (Ordenes de Servicio)</t>
        </is>
      </c>
      <c r="B32" s="40" t="inlineStr">
        <is>
          <t>OS</t>
        </is>
      </c>
      <c r="C32" s="41" t="inlineStr">
        <is>
          <t>Carga de N de ODS a Telegram</t>
        </is>
      </c>
      <c r="D32" s="42" t="inlineStr">
        <is>
          <t>Semanal</t>
        </is>
      </c>
      <c r="E32" s="42" t="n">
        <v>15</v>
      </c>
      <c r="F32" s="43" t="inlineStr">
        <is>
          <t>Fija</t>
        </is>
      </c>
      <c r="G32" s="44" t="n"/>
      <c r="H32" s="45" t="n"/>
      <c r="I32" s="45" t="n"/>
      <c r="J32" s="44" t="n"/>
      <c r="K32" s="44" t="n"/>
      <c r="L32" s="44" t="n"/>
      <c r="M32" s="44" t="n"/>
      <c r="N32" s="45" t="n"/>
      <c r="O32" s="45" t="n"/>
      <c r="P32" s="44" t="n"/>
      <c r="Q32" s="44" t="n"/>
      <c r="R32" s="44" t="n"/>
      <c r="S32" s="44" t="n"/>
      <c r="T32" s="45" t="n"/>
      <c r="U32" s="45" t="n"/>
      <c r="V32" s="44" t="n"/>
      <c r="W32" s="44" t="n"/>
      <c r="X32" s="44" t="n"/>
      <c r="Y32" s="44" t="n"/>
      <c r="Z32" s="45" t="n"/>
      <c r="AA32" s="45" t="n"/>
      <c r="AB32" s="44" t="n"/>
      <c r="AC32" s="44" t="n"/>
      <c r="AD32" s="44" t="n"/>
      <c r="AE32" s="44" t="n"/>
      <c r="AF32" s="45" t="n"/>
      <c r="AG32" s="42" t="n">
        <v>2.25</v>
      </c>
      <c r="AH32" s="42">
        <f>COUNTIF(G32:AF32,"X")*15.0/60</f>
        <v/>
      </c>
      <c r="AI32" s="42">
        <f>AH32-AG32</f>
        <v/>
      </c>
    </row>
    <row r="33">
      <c r="A33" s="39" t="inlineStr">
        <is>
          <t>ODS (Ordenes de Servicio)</t>
        </is>
      </c>
      <c r="B33" s="40" t="inlineStr">
        <is>
          <t>OS</t>
        </is>
      </c>
      <c r="C33" s="41" t="inlineStr">
        <is>
          <t>Carga de ODS a CM</t>
        </is>
      </c>
      <c r="D33" s="42" t="inlineStr">
        <is>
          <t>Semanal</t>
        </is>
      </c>
      <c r="E33" s="42" t="n">
        <v>360</v>
      </c>
      <c r="F33" s="43" t="inlineStr">
        <is>
          <t>Fija</t>
        </is>
      </c>
      <c r="G33" s="44" t="n"/>
      <c r="H33" s="45" t="n"/>
      <c r="I33" s="45" t="n"/>
      <c r="J33" s="44" t="n"/>
      <c r="K33" s="44" t="n"/>
      <c r="L33" s="44" t="n"/>
      <c r="M33" s="44" t="n"/>
      <c r="N33" s="45" t="n"/>
      <c r="O33" s="45" t="n"/>
      <c r="P33" s="44" t="n"/>
      <c r="Q33" s="44" t="n"/>
      <c r="R33" s="44" t="n"/>
      <c r="S33" s="44" t="n"/>
      <c r="T33" s="45" t="n"/>
      <c r="U33" s="45" t="n"/>
      <c r="V33" s="44" t="n"/>
      <c r="W33" s="44" t="n"/>
      <c r="X33" s="44" t="n"/>
      <c r="Y33" s="44" t="n"/>
      <c r="Z33" s="45" t="n"/>
      <c r="AA33" s="45" t="n"/>
      <c r="AB33" s="44" t="n"/>
      <c r="AC33" s="44" t="n"/>
      <c r="AD33" s="44" t="n"/>
      <c r="AE33" s="44" t="n"/>
      <c r="AF33" s="45" t="n"/>
      <c r="AG33" s="42" t="n">
        <v>54</v>
      </c>
      <c r="AH33" s="42">
        <f>COUNTIF(G33:AF33,"X")*360.0/60</f>
        <v/>
      </c>
      <c r="AI33" s="42">
        <f>AH33-AG33</f>
        <v/>
      </c>
    </row>
    <row r="34">
      <c r="A34" s="39" t="inlineStr">
        <is>
          <t>ODS (Ordenes de Servicio)</t>
        </is>
      </c>
      <c r="B34" s="40" t="inlineStr">
        <is>
          <t>OS</t>
        </is>
      </c>
      <c r="C34" s="41" t="inlineStr">
        <is>
          <t>Entrega de ODS a Administracion</t>
        </is>
      </c>
      <c r="D34" s="42" t="inlineStr">
        <is>
          <t>Semanal</t>
        </is>
      </c>
      <c r="E34" s="42" t="n">
        <v>10</v>
      </c>
      <c r="F34" s="43" t="inlineStr">
        <is>
          <t>Fija</t>
        </is>
      </c>
      <c r="G34" s="44" t="n"/>
      <c r="H34" s="45" t="n"/>
      <c r="I34" s="45" t="n"/>
      <c r="J34" s="44" t="n"/>
      <c r="K34" s="44" t="n"/>
      <c r="L34" s="44" t="n"/>
      <c r="M34" s="44" t="n"/>
      <c r="N34" s="45" t="n"/>
      <c r="O34" s="45" t="n"/>
      <c r="P34" s="44" t="n"/>
      <c r="Q34" s="44" t="n"/>
      <c r="R34" s="44" t="n"/>
      <c r="S34" s="44" t="n"/>
      <c r="T34" s="45" t="n"/>
      <c r="U34" s="45" t="n"/>
      <c r="V34" s="44" t="n"/>
      <c r="W34" s="44" t="n"/>
      <c r="X34" s="44" t="n"/>
      <c r="Y34" s="44" t="n"/>
      <c r="Z34" s="45" t="n"/>
      <c r="AA34" s="45" t="n"/>
      <c r="AB34" s="44" t="n"/>
      <c r="AC34" s="44" t="n"/>
      <c r="AD34" s="44" t="n"/>
      <c r="AE34" s="44" t="n"/>
      <c r="AF34" s="45" t="n"/>
      <c r="AG34" s="42" t="n">
        <v>1.5</v>
      </c>
      <c r="AH34" s="42">
        <f>COUNTIF(G34:AF34,"X")*10.0/60</f>
        <v/>
      </c>
      <c r="AI34" s="42">
        <f>AH34-AG34</f>
        <v/>
      </c>
    </row>
    <row r="35">
      <c r="A35" s="39" t="inlineStr">
        <is>
          <t>ODS (Ordenes de Servicio)</t>
        </is>
      </c>
      <c r="B35" s="40" t="inlineStr">
        <is>
          <t>OS</t>
        </is>
      </c>
      <c r="C35" s="41" t="inlineStr">
        <is>
          <t>Control de ODS cargadas y descuentos</t>
        </is>
      </c>
      <c r="D35" s="42" t="inlineStr">
        <is>
          <t>Semanal</t>
        </is>
      </c>
      <c r="E35" s="42" t="n">
        <v>30</v>
      </c>
      <c r="F35" s="43" t="inlineStr">
        <is>
          <t>Fija</t>
        </is>
      </c>
      <c r="G35" s="44" t="n"/>
      <c r="H35" s="45" t="n"/>
      <c r="I35" s="45" t="n"/>
      <c r="J35" s="44" t="n"/>
      <c r="K35" s="44" t="n"/>
      <c r="L35" s="44" t="n"/>
      <c r="M35" s="44" t="n"/>
      <c r="N35" s="45" t="n"/>
      <c r="O35" s="45" t="n"/>
      <c r="P35" s="44" t="n"/>
      <c r="Q35" s="44" t="n"/>
      <c r="R35" s="44" t="n"/>
      <c r="S35" s="44" t="n"/>
      <c r="T35" s="45" t="n"/>
      <c r="U35" s="45" t="n"/>
      <c r="V35" s="44" t="n"/>
      <c r="W35" s="44" t="n"/>
      <c r="X35" s="44" t="n"/>
      <c r="Y35" s="44" t="n"/>
      <c r="Z35" s="45" t="n"/>
      <c r="AA35" s="45" t="n"/>
      <c r="AB35" s="44" t="n"/>
      <c r="AC35" s="44" t="n"/>
      <c r="AD35" s="44" t="n"/>
      <c r="AE35" s="44" t="n"/>
      <c r="AF35" s="45" t="n"/>
      <c r="AG35" s="42" t="n">
        <v>4.5</v>
      </c>
      <c r="AH35" s="42">
        <f>COUNTIF(G35:AF35,"X")*30.0/60</f>
        <v/>
      </c>
      <c r="AI35" s="42">
        <f>AH35-AG35</f>
        <v/>
      </c>
    </row>
    <row r="36">
      <c r="A36" s="37" t="inlineStr">
        <is>
          <t>Configuracion AXPRO (RM) (Jueves)</t>
        </is>
      </c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8" t="n"/>
      <c r="X36" s="38" t="n"/>
      <c r="Y36" s="38" t="n"/>
      <c r="Z36" s="38" t="n"/>
      <c r="AA36" s="38" t="n"/>
      <c r="AB36" s="38" t="n"/>
      <c r="AC36" s="38" t="n"/>
      <c r="AD36" s="38" t="n"/>
      <c r="AE36" s="38" t="n"/>
      <c r="AF36" s="38" t="n"/>
      <c r="AG36" s="38" t="n"/>
      <c r="AH36" s="38" t="n"/>
      <c r="AI36" s="38" t="n"/>
    </row>
    <row r="37">
      <c r="A37" s="39" t="inlineStr">
        <is>
          <t>Configuracion AXPRO (RM)</t>
        </is>
      </c>
      <c r="B37" s="40" t="inlineStr">
        <is>
          <t>N/A</t>
        </is>
      </c>
      <c r="C37" s="41" t="inlineStr">
        <is>
          <t>Cargar factura Personal Jasper</t>
        </is>
      </c>
      <c r="D37" s="42" t="inlineStr">
        <is>
          <t>Mensual</t>
        </is>
      </c>
      <c r="E37" s="42" t="n">
        <v>15</v>
      </c>
      <c r="F37" s="43" t="inlineStr">
        <is>
          <t>Fija</t>
        </is>
      </c>
      <c r="G37" s="44" t="n"/>
      <c r="H37" s="44" t="n"/>
      <c r="I37" s="44" t="n"/>
      <c r="J37" s="44" t="n"/>
      <c r="K37" s="44" t="n"/>
      <c r="L37" s="44" t="n"/>
      <c r="M37" s="44" t="n"/>
      <c r="N37" s="44" t="n"/>
      <c r="O37" s="44" t="n"/>
      <c r="P37" s="44" t="n"/>
      <c r="Q37" s="45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  <c r="AE37" s="44" t="n"/>
      <c r="AF37" s="44" t="n"/>
      <c r="AG37" s="42" t="n">
        <v>0.25</v>
      </c>
      <c r="AH37" s="42">
        <f>COUNTIF(G37:AF37,"X")*15.0/60</f>
        <v/>
      </c>
      <c r="AI37" s="42">
        <f>AH37-AG37</f>
        <v/>
      </c>
    </row>
    <row r="38">
      <c r="A38" s="39" t="inlineStr">
        <is>
          <t>Configuracion AXPRO (RM)</t>
        </is>
      </c>
      <c r="B38" s="40" t="inlineStr">
        <is>
          <t>N/A</t>
        </is>
      </c>
      <c r="C38" s="41" t="inlineStr">
        <is>
          <t>Cargar factura Movistar Smart</t>
        </is>
      </c>
      <c r="D38" s="42" t="inlineStr">
        <is>
          <t>Mensual</t>
        </is>
      </c>
      <c r="E38" s="42" t="n">
        <v>15</v>
      </c>
      <c r="F38" s="43" t="inlineStr">
        <is>
          <t>Fija</t>
        </is>
      </c>
      <c r="G38" s="44" t="n"/>
      <c r="H38" s="44" t="n"/>
      <c r="I38" s="44" t="n"/>
      <c r="J38" s="44" t="n"/>
      <c r="K38" s="44" t="n"/>
      <c r="L38" s="44" t="n"/>
      <c r="M38" s="44" t="n"/>
      <c r="N38" s="44" t="n"/>
      <c r="O38" s="44" t="n"/>
      <c r="P38" s="44" t="n"/>
      <c r="Q38" s="45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2" t="n">
        <v>0.25</v>
      </c>
      <c r="AH38" s="42">
        <f>COUNTIF(G38:AF38,"X")*15.0/60</f>
        <v/>
      </c>
      <c r="AI38" s="42">
        <f>AH38-AG38</f>
        <v/>
      </c>
    </row>
    <row r="39">
      <c r="A39" s="39" t="inlineStr">
        <is>
          <t>Configuracion AXPRO (RM)</t>
        </is>
      </c>
      <c r="B39" s="40" t="inlineStr">
        <is>
          <t>N/A</t>
        </is>
      </c>
      <c r="C39" s="41" t="inlineStr">
        <is>
          <t>Cargar factura Claro Empleados</t>
        </is>
      </c>
      <c r="D39" s="42" t="inlineStr">
        <is>
          <t>Mensual</t>
        </is>
      </c>
      <c r="E39" s="42" t="n">
        <v>15</v>
      </c>
      <c r="F39" s="43" t="inlineStr">
        <is>
          <t>Fija</t>
        </is>
      </c>
      <c r="G39" s="44" t="n"/>
      <c r="H39" s="44" t="n"/>
      <c r="I39" s="44" t="n"/>
      <c r="J39" s="44" t="n"/>
      <c r="K39" s="44" t="n"/>
      <c r="L39" s="44" t="n"/>
      <c r="M39" s="44" t="n"/>
      <c r="N39" s="44" t="n"/>
      <c r="O39" s="44" t="n"/>
      <c r="P39" s="44" t="n"/>
      <c r="Q39" s="45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2" t="n">
        <v>0.25</v>
      </c>
      <c r="AH39" s="42">
        <f>COUNTIF(G39:AF39,"X")*15.0/60</f>
        <v/>
      </c>
      <c r="AI39" s="42">
        <f>AH39-AG39</f>
        <v/>
      </c>
    </row>
    <row r="40">
      <c r="A40" s="39" t="inlineStr">
        <is>
          <t>Configuracion AXPRO (RM)</t>
        </is>
      </c>
      <c r="B40" s="40" t="inlineStr">
        <is>
          <t>N/A</t>
        </is>
      </c>
      <c r="C40" s="41" t="inlineStr">
        <is>
          <t>Cargar factura Claro M2M</t>
        </is>
      </c>
      <c r="D40" s="42" t="inlineStr">
        <is>
          <t>Mensual</t>
        </is>
      </c>
      <c r="E40" s="42" t="n">
        <v>15</v>
      </c>
      <c r="F40" s="43" t="inlineStr">
        <is>
          <t>Fija</t>
        </is>
      </c>
      <c r="G40" s="44" t="n"/>
      <c r="H40" s="44" t="n"/>
      <c r="I40" s="44" t="n"/>
      <c r="J40" s="44" t="n"/>
      <c r="K40" s="44" t="n"/>
      <c r="L40" s="44" t="n"/>
      <c r="M40" s="44" t="n"/>
      <c r="N40" s="44" t="n"/>
      <c r="O40" s="44" t="n"/>
      <c r="P40" s="44" t="n"/>
      <c r="Q40" s="45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2" t="n">
        <v>0.25</v>
      </c>
      <c r="AH40" s="42">
        <f>COUNTIF(G40:AF40,"X")*15.0/60</f>
        <v/>
      </c>
      <c r="AI40" s="42">
        <f>AH40-AG40</f>
        <v/>
      </c>
    </row>
    <row r="41">
      <c r="A41" s="39" t="inlineStr">
        <is>
          <t>Configuracion AXPRO (RM)</t>
        </is>
      </c>
      <c r="B41" s="40" t="inlineStr">
        <is>
          <t>N/A</t>
        </is>
      </c>
      <c r="C41" s="41" t="inlineStr">
        <is>
          <t>Cargar factura Personal M2M</t>
        </is>
      </c>
      <c r="D41" s="42" t="inlineStr">
        <is>
          <t>Mensual</t>
        </is>
      </c>
      <c r="E41" s="42" t="n">
        <v>15</v>
      </c>
      <c r="F41" s="43" t="inlineStr">
        <is>
          <t>Fija</t>
        </is>
      </c>
      <c r="G41" s="44" t="n"/>
      <c r="H41" s="44" t="n"/>
      <c r="I41" s="44" t="n"/>
      <c r="J41" s="44" t="n"/>
      <c r="K41" s="44" t="n"/>
      <c r="L41" s="44" t="n"/>
      <c r="M41" s="44" t="n"/>
      <c r="N41" s="44" t="n"/>
      <c r="O41" s="44" t="n"/>
      <c r="P41" s="44" t="n"/>
      <c r="Q41" s="44" t="n"/>
      <c r="R41" s="44" t="n"/>
      <c r="S41" s="44" t="n"/>
      <c r="T41" s="45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2" t="n">
        <v>0.25</v>
      </c>
      <c r="AH41" s="42">
        <f>COUNTIF(G41:AF41,"X")*15.0/60</f>
        <v/>
      </c>
      <c r="AI41" s="42">
        <f>AH41-AG41</f>
        <v/>
      </c>
    </row>
    <row r="42">
      <c r="A42" s="39" t="inlineStr">
        <is>
          <t>Configuracion AXPRO (RM)</t>
        </is>
      </c>
      <c r="B42" s="40" t="inlineStr">
        <is>
          <t>N/A</t>
        </is>
      </c>
      <c r="C42" s="41" t="inlineStr">
        <is>
          <t>Cargar factura Claro Jasper</t>
        </is>
      </c>
      <c r="D42" s="42" t="inlineStr">
        <is>
          <t>Mensual</t>
        </is>
      </c>
      <c r="E42" s="42" t="n">
        <v>15</v>
      </c>
      <c r="F42" s="43" t="inlineStr">
        <is>
          <t>Fija</t>
        </is>
      </c>
      <c r="G42" s="44" t="n"/>
      <c r="H42" s="44" t="n"/>
      <c r="I42" s="44" t="n"/>
      <c r="J42" s="44" t="n"/>
      <c r="K42" s="44" t="n"/>
      <c r="L42" s="44" t="n"/>
      <c r="M42" s="44" t="n"/>
      <c r="N42" s="44" t="n"/>
      <c r="O42" s="44" t="n"/>
      <c r="P42" s="44" t="n"/>
      <c r="Q42" s="44" t="n"/>
      <c r="R42" s="44" t="n"/>
      <c r="S42" s="44" t="n"/>
      <c r="T42" s="45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2" t="n">
        <v>0.25</v>
      </c>
      <c r="AH42" s="42">
        <f>COUNTIF(G42:AF42,"X")*15.0/60</f>
        <v/>
      </c>
      <c r="AI42" s="42">
        <f>AH42-AG42</f>
        <v/>
      </c>
    </row>
    <row r="43">
      <c r="A43" s="39" t="inlineStr">
        <is>
          <t>Configuracion AXPRO (RM)</t>
        </is>
      </c>
      <c r="B43" s="40" t="inlineStr">
        <is>
          <t>N/A</t>
        </is>
      </c>
      <c r="C43" s="41" t="inlineStr">
        <is>
          <t>Analisis de factura de chips</t>
        </is>
      </c>
      <c r="D43" s="42" t="inlineStr">
        <is>
          <t>Mensual</t>
        </is>
      </c>
      <c r="E43" s="42" t="n">
        <v>45</v>
      </c>
      <c r="F43" s="43" t="inlineStr">
        <is>
          <t>Fija</t>
        </is>
      </c>
      <c r="G43" s="44" t="n"/>
      <c r="H43" s="44" t="n"/>
      <c r="I43" s="44" t="n"/>
      <c r="J43" s="44" t="n"/>
      <c r="K43" s="44" t="n"/>
      <c r="L43" s="44" t="n"/>
      <c r="M43" s="44" t="n"/>
      <c r="N43" s="44" t="n"/>
      <c r="O43" s="44" t="n"/>
      <c r="P43" s="44" t="n"/>
      <c r="Q43" s="44" t="n"/>
      <c r="R43" s="44" t="n"/>
      <c r="S43" s="44" t="n"/>
      <c r="T43" s="45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2" t="n">
        <v>0.75</v>
      </c>
      <c r="AH43" s="42">
        <f>COUNTIF(G43:AF43,"X")*45.0/60</f>
        <v/>
      </c>
      <c r="AI43" s="42">
        <f>AH43-AG43</f>
        <v/>
      </c>
    </row>
    <row r="44">
      <c r="A44" s="39" t="inlineStr">
        <is>
          <t>Configuracion AXPRO (RM)</t>
        </is>
      </c>
      <c r="B44" s="40" t="inlineStr">
        <is>
          <t>N/A</t>
        </is>
      </c>
      <c r="C44" s="41" t="inlineStr">
        <is>
          <t>Publicar resumen de gastos de chips</t>
        </is>
      </c>
      <c r="D44" s="42" t="inlineStr">
        <is>
          <t>Mensual</t>
        </is>
      </c>
      <c r="E44" s="42" t="n">
        <v>15</v>
      </c>
      <c r="F44" s="43" t="inlineStr">
        <is>
          <t>Fija</t>
        </is>
      </c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n"/>
      <c r="P44" s="44" t="n"/>
      <c r="Q44" s="44" t="n"/>
      <c r="R44" s="44" t="n"/>
      <c r="S44" s="44" t="n"/>
      <c r="T44" s="45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2" t="n">
        <v>0.25</v>
      </c>
      <c r="AH44" s="42">
        <f>COUNTIF(G44:AF44,"X")*15.0/60</f>
        <v/>
      </c>
      <c r="AI44" s="42">
        <f>AH44-AG44</f>
        <v/>
      </c>
    </row>
    <row r="45">
      <c r="A45" s="39" t="inlineStr">
        <is>
          <t>Configuracion AXPRO (RM)</t>
        </is>
      </c>
      <c r="B45" s="40" t="inlineStr">
        <is>
          <t>N/A</t>
        </is>
      </c>
      <c r="C45" s="41" t="inlineStr">
        <is>
          <t>Control de chips</t>
        </is>
      </c>
      <c r="D45" s="42" t="inlineStr">
        <is>
          <t>Semanal</t>
        </is>
      </c>
      <c r="E45" s="42" t="n">
        <v>45</v>
      </c>
      <c r="F45" s="43" t="inlineStr">
        <is>
          <t>Fija</t>
        </is>
      </c>
      <c r="G45" s="44" t="n"/>
      <c r="H45" s="44" t="n"/>
      <c r="I45" s="44" t="n"/>
      <c r="J45" s="44" t="n"/>
      <c r="K45" s="45" t="n"/>
      <c r="L45" s="44" t="n"/>
      <c r="M45" s="44" t="n"/>
      <c r="N45" s="44" t="n"/>
      <c r="O45" s="44" t="n"/>
      <c r="P45" s="44" t="n"/>
      <c r="Q45" s="45" t="n"/>
      <c r="R45" s="44" t="n"/>
      <c r="S45" s="44" t="n"/>
      <c r="T45" s="44" t="n"/>
      <c r="U45" s="44" t="n"/>
      <c r="V45" s="44" t="n"/>
      <c r="W45" s="45" t="n"/>
      <c r="X45" s="44" t="n"/>
      <c r="Y45" s="44" t="n"/>
      <c r="Z45" s="44" t="n"/>
      <c r="AA45" s="44" t="n"/>
      <c r="AB45" s="44" t="n"/>
      <c r="AC45" s="45" t="n"/>
      <c r="AD45" s="44" t="n"/>
      <c r="AE45" s="44" t="n"/>
      <c r="AF45" s="44" t="n"/>
      <c r="AG45" s="42" t="n">
        <v>3</v>
      </c>
      <c r="AH45" s="42">
        <f>COUNTIF(G45:AF45,"X")*45.0/60</f>
        <v/>
      </c>
      <c r="AI45" s="42">
        <f>AH45-AG45</f>
        <v/>
      </c>
    </row>
    <row r="46">
      <c r="A46" s="39" t="inlineStr">
        <is>
          <t>Configuracion AXPRO (RM)</t>
        </is>
      </c>
      <c r="B46" s="40" t="inlineStr">
        <is>
          <t>N/A</t>
        </is>
      </c>
      <c r="C46" s="41" t="inlineStr">
        <is>
          <t>Solicitar baja de chips</t>
        </is>
      </c>
      <c r="D46" s="42" t="inlineStr">
        <is>
          <t>Semanal</t>
        </is>
      </c>
      <c r="E46" s="42" t="n">
        <v>15</v>
      </c>
      <c r="F46" s="43" t="inlineStr">
        <is>
          <t>Fija</t>
        </is>
      </c>
      <c r="G46" s="44" t="n"/>
      <c r="H46" s="44" t="n"/>
      <c r="I46" s="44" t="n"/>
      <c r="J46" s="44" t="n"/>
      <c r="K46" s="45" t="n"/>
      <c r="L46" s="45" t="n"/>
      <c r="M46" s="44" t="n"/>
      <c r="N46" s="44" t="n"/>
      <c r="O46" s="44" t="n"/>
      <c r="P46" s="44" t="n"/>
      <c r="Q46" s="45" t="n"/>
      <c r="R46" s="45" t="n"/>
      <c r="S46" s="44" t="n"/>
      <c r="T46" s="44" t="n"/>
      <c r="U46" s="44" t="n"/>
      <c r="V46" s="44" t="n"/>
      <c r="W46" s="45" t="n"/>
      <c r="X46" s="45" t="n"/>
      <c r="Y46" s="44" t="n"/>
      <c r="Z46" s="44" t="n"/>
      <c r="AA46" s="44" t="n"/>
      <c r="AB46" s="44" t="n"/>
      <c r="AC46" s="45" t="n"/>
      <c r="AD46" s="45" t="n"/>
      <c r="AE46" s="44" t="n"/>
      <c r="AF46" s="44" t="n"/>
      <c r="AG46" s="42" t="n">
        <v>2</v>
      </c>
      <c r="AH46" s="42">
        <f>COUNTIF(G46:AF46,"X")*15.0/60</f>
        <v/>
      </c>
      <c r="AI46" s="42">
        <f>AH46-AG46</f>
        <v/>
      </c>
    </row>
    <row r="47">
      <c r="A47" s="39" t="inlineStr">
        <is>
          <t>Configuracion AXPRO (RM)</t>
        </is>
      </c>
      <c r="B47" s="40" t="inlineStr">
        <is>
          <t>N/A</t>
        </is>
      </c>
      <c r="C47" s="41" t="inlineStr">
        <is>
          <t>Recupero de chips</t>
        </is>
      </c>
      <c r="D47" s="42" t="inlineStr">
        <is>
          <t>Semanal</t>
        </is>
      </c>
      <c r="E47" s="42" t="n">
        <v>15</v>
      </c>
      <c r="F47" s="43" t="inlineStr">
        <is>
          <t>Fija</t>
        </is>
      </c>
      <c r="G47" s="44" t="n"/>
      <c r="H47" s="44" t="n"/>
      <c r="I47" s="44" t="n"/>
      <c r="J47" s="44" t="n"/>
      <c r="K47" s="45" t="n"/>
      <c r="L47" s="44" t="n"/>
      <c r="M47" s="44" t="n"/>
      <c r="N47" s="44" t="n"/>
      <c r="O47" s="44" t="n"/>
      <c r="P47" s="44" t="n"/>
      <c r="Q47" s="45" t="n"/>
      <c r="R47" s="44" t="n"/>
      <c r="S47" s="44" t="n"/>
      <c r="T47" s="44" t="n"/>
      <c r="U47" s="44" t="n"/>
      <c r="V47" s="44" t="n"/>
      <c r="W47" s="45" t="n"/>
      <c r="X47" s="44" t="n"/>
      <c r="Y47" s="44" t="n"/>
      <c r="Z47" s="44" t="n"/>
      <c r="AA47" s="44" t="n"/>
      <c r="AB47" s="44" t="n"/>
      <c r="AC47" s="45" t="n"/>
      <c r="AD47" s="44" t="n"/>
      <c r="AE47" s="44" t="n"/>
      <c r="AF47" s="44" t="n"/>
      <c r="AG47" s="42" t="n">
        <v>1</v>
      </c>
      <c r="AH47" s="42">
        <f>COUNTIF(G47:AF47,"X")*15.0/60</f>
        <v/>
      </c>
      <c r="AI47" s="42">
        <f>AH47-AG47</f>
        <v/>
      </c>
    </row>
    <row r="48">
      <c r="A48" s="39" t="inlineStr">
        <is>
          <t>Configuracion AXPRO (RM)</t>
        </is>
      </c>
      <c r="B48" s="40" t="inlineStr">
        <is>
          <t>N/A</t>
        </is>
      </c>
      <c r="C48" s="41" t="inlineStr">
        <is>
          <t>Activar chips (altas de lineas moviles)</t>
        </is>
      </c>
      <c r="D48" s="42" t="inlineStr">
        <is>
          <t>Semanal</t>
        </is>
      </c>
      <c r="E48" s="42" t="n">
        <v>15</v>
      </c>
      <c r="F48" s="43" t="inlineStr">
        <is>
          <t>Fija</t>
        </is>
      </c>
      <c r="G48" s="44" t="n"/>
      <c r="H48" s="44" t="n"/>
      <c r="I48" s="44" t="n"/>
      <c r="J48" s="44" t="n"/>
      <c r="K48" s="45" t="n"/>
      <c r="L48" s="44" t="n"/>
      <c r="M48" s="44" t="n"/>
      <c r="N48" s="44" t="n"/>
      <c r="O48" s="44" t="n"/>
      <c r="P48" s="44" t="n"/>
      <c r="Q48" s="45" t="n"/>
      <c r="R48" s="44" t="n"/>
      <c r="S48" s="44" t="n"/>
      <c r="T48" s="44" t="n"/>
      <c r="U48" s="44" t="n"/>
      <c r="V48" s="44" t="n"/>
      <c r="W48" s="45" t="n"/>
      <c r="X48" s="44" t="n"/>
      <c r="Y48" s="44" t="n"/>
      <c r="Z48" s="44" t="n"/>
      <c r="AA48" s="44" t="n"/>
      <c r="AB48" s="44" t="n"/>
      <c r="AC48" s="45" t="n"/>
      <c r="AD48" s="44" t="n"/>
      <c r="AE48" s="44" t="n"/>
      <c r="AF48" s="44" t="n"/>
      <c r="AG48" s="42" t="n">
        <v>1</v>
      </c>
      <c r="AH48" s="42">
        <f>COUNTIF(G48:AF48,"X")*15.0/60</f>
        <v/>
      </c>
      <c r="AI48" s="42">
        <f>AH48-AG48</f>
        <v/>
      </c>
    </row>
    <row r="49">
      <c r="A49" s="37" t="inlineStr">
        <is>
          <t>Remoto de Equipos (REE) (Miercoles)</t>
        </is>
      </c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38" t="n"/>
      <c r="W49" s="38" t="n"/>
      <c r="X49" s="38" t="n"/>
      <c r="Y49" s="38" t="n"/>
      <c r="Z49" s="38" t="n"/>
      <c r="AA49" s="38" t="n"/>
      <c r="AB49" s="38" t="n"/>
      <c r="AC49" s="38" t="n"/>
      <c r="AD49" s="38" t="n"/>
      <c r="AE49" s="38" t="n"/>
      <c r="AF49" s="38" t="n"/>
      <c r="AG49" s="38" t="n"/>
      <c r="AH49" s="38" t="n"/>
      <c r="AI49" s="38" t="n"/>
    </row>
    <row r="50">
      <c r="A50" s="39" t="inlineStr">
        <is>
          <t>Remoto de Equipos (REE)</t>
        </is>
      </c>
      <c r="B50" s="40" t="inlineStr">
        <is>
          <t>REE</t>
        </is>
      </c>
      <c r="C50" s="41" t="inlineStr">
        <is>
          <t>Carga de REE en Manager2GO</t>
        </is>
      </c>
      <c r="D50" s="42" t="inlineStr">
        <is>
          <t>Semanal</t>
        </is>
      </c>
      <c r="E50" s="42" t="n">
        <v>360</v>
      </c>
      <c r="F50" s="43" t="inlineStr">
        <is>
          <t>Fija</t>
        </is>
      </c>
      <c r="G50" s="44" t="n"/>
      <c r="H50" s="44" t="n"/>
      <c r="I50" s="44" t="n"/>
      <c r="J50" s="45" t="n"/>
      <c r="K50" s="44" t="n"/>
      <c r="L50" s="44" t="n"/>
      <c r="M50" s="44" t="n"/>
      <c r="N50" s="44" t="n"/>
      <c r="O50" s="44" t="n"/>
      <c r="P50" s="45" t="n"/>
      <c r="Q50" s="44" t="n"/>
      <c r="R50" s="44" t="n"/>
      <c r="S50" s="44" t="n"/>
      <c r="T50" s="44" t="n"/>
      <c r="U50" s="44" t="n"/>
      <c r="V50" s="45" t="n"/>
      <c r="W50" s="44" t="n"/>
      <c r="X50" s="44" t="n"/>
      <c r="Y50" s="44" t="n"/>
      <c r="Z50" s="44" t="n"/>
      <c r="AA50" s="44" t="n"/>
      <c r="AB50" s="45" t="n"/>
      <c r="AC50" s="44" t="n"/>
      <c r="AD50" s="44" t="n"/>
      <c r="AE50" s="44" t="n"/>
      <c r="AF50" s="44" t="n"/>
      <c r="AG50" s="42" t="n">
        <v>24</v>
      </c>
      <c r="AH50" s="42">
        <f>COUNTIF(G50:AF50,"X")*360.0/60</f>
        <v/>
      </c>
      <c r="AI50" s="42">
        <f>AH50-AG50</f>
        <v/>
      </c>
    </row>
    <row r="51">
      <c r="A51" s="39" t="inlineStr">
        <is>
          <t>Remoto de Equipos (REE)</t>
        </is>
      </c>
      <c r="B51" s="40" t="inlineStr">
        <is>
          <t>REE</t>
        </is>
      </c>
      <c r="C51" s="41" t="inlineStr">
        <is>
          <t>Carga de chips en REE</t>
        </is>
      </c>
      <c r="D51" s="42" t="inlineStr">
        <is>
          <t>Semanal</t>
        </is>
      </c>
      <c r="E51" s="42" t="inlineStr">
        <is>
          <t>A confirmar</t>
        </is>
      </c>
      <c r="F51" s="43" t="inlineStr">
        <is>
          <t>Fija</t>
        </is>
      </c>
      <c r="G51" s="44" t="n"/>
      <c r="H51" s="44" t="n"/>
      <c r="I51" s="44" t="n"/>
      <c r="J51" s="45" t="n"/>
      <c r="K51" s="44" t="n"/>
      <c r="L51" s="44" t="n"/>
      <c r="M51" s="44" t="n"/>
      <c r="N51" s="44" t="n"/>
      <c r="O51" s="44" t="n"/>
      <c r="P51" s="45" t="n"/>
      <c r="Q51" s="44" t="n"/>
      <c r="R51" s="44" t="n"/>
      <c r="S51" s="44" t="n"/>
      <c r="T51" s="44" t="n"/>
      <c r="U51" s="44" t="n"/>
      <c r="V51" s="45" t="n"/>
      <c r="W51" s="44" t="n"/>
      <c r="X51" s="44" t="n"/>
      <c r="Y51" s="44" t="n"/>
      <c r="Z51" s="44" t="n"/>
      <c r="AA51" s="44" t="n"/>
      <c r="AB51" s="45" t="n"/>
      <c r="AC51" s="44" t="n"/>
      <c r="AD51" s="44" t="n"/>
      <c r="AE51" s="44" t="n"/>
      <c r="AF51" s="44" t="n"/>
      <c r="AG51" s="42" t="inlineStr">
        <is>
          <t>—</t>
        </is>
      </c>
      <c r="AH51" s="42">
        <f>COUNTIF(G51:AF51,"X")</f>
        <v/>
      </c>
      <c r="AI51" s="42" t="inlineStr">
        <is>
          <t>—</t>
        </is>
      </c>
    </row>
    <row r="52">
      <c r="A52" s="39" t="inlineStr">
        <is>
          <t>Remoto de Equipos (REE)</t>
        </is>
      </c>
      <c r="B52" s="40" t="inlineStr">
        <is>
          <t>REE</t>
        </is>
      </c>
      <c r="C52" s="41" t="inlineStr">
        <is>
          <t>Carga de baterias en REE</t>
        </is>
      </c>
      <c r="D52" s="42" t="inlineStr">
        <is>
          <t>Semanal</t>
        </is>
      </c>
      <c r="E52" s="42" t="inlineStr">
        <is>
          <t>A confirmar</t>
        </is>
      </c>
      <c r="F52" s="43" t="inlineStr">
        <is>
          <t>Fija</t>
        </is>
      </c>
      <c r="G52" s="44" t="n"/>
      <c r="H52" s="44" t="n"/>
      <c r="I52" s="44" t="n"/>
      <c r="J52" s="45" t="n"/>
      <c r="K52" s="44" t="n"/>
      <c r="L52" s="44" t="n"/>
      <c r="M52" s="44" t="n"/>
      <c r="N52" s="44" t="n"/>
      <c r="O52" s="44" t="n"/>
      <c r="P52" s="45" t="n"/>
      <c r="Q52" s="44" t="n"/>
      <c r="R52" s="44" t="n"/>
      <c r="S52" s="44" t="n"/>
      <c r="T52" s="44" t="n"/>
      <c r="U52" s="44" t="n"/>
      <c r="V52" s="45" t="n"/>
      <c r="W52" s="44" t="n"/>
      <c r="X52" s="44" t="n"/>
      <c r="Y52" s="44" t="n"/>
      <c r="Z52" s="44" t="n"/>
      <c r="AA52" s="44" t="n"/>
      <c r="AB52" s="45" t="n"/>
      <c r="AC52" s="44" t="n"/>
      <c r="AD52" s="44" t="n"/>
      <c r="AE52" s="44" t="n"/>
      <c r="AF52" s="44" t="n"/>
      <c r="AG52" s="42" t="inlineStr">
        <is>
          <t>—</t>
        </is>
      </c>
      <c r="AH52" s="42">
        <f>COUNTIF(G52:AF52,"X")</f>
        <v/>
      </c>
      <c r="AI52" s="42" t="inlineStr">
        <is>
          <t>—</t>
        </is>
      </c>
    </row>
    <row r="53">
      <c r="A53" s="39" t="inlineStr">
        <is>
          <t>Remoto de Equipos (REE)</t>
        </is>
      </c>
      <c r="B53" s="40" t="inlineStr">
        <is>
          <t>REE</t>
        </is>
      </c>
      <c r="C53" s="41" t="inlineStr">
        <is>
          <t>Pasar REE a carpeta 3</t>
        </is>
      </c>
      <c r="D53" s="42" t="inlineStr">
        <is>
          <t>Semanal</t>
        </is>
      </c>
      <c r="E53" s="42" t="n">
        <v>360</v>
      </c>
      <c r="F53" s="43" t="inlineStr">
        <is>
          <t>Fija</t>
        </is>
      </c>
      <c r="G53" s="44" t="n"/>
      <c r="H53" s="44" t="n"/>
      <c r="I53" s="44" t="n"/>
      <c r="J53" s="45" t="n"/>
      <c r="K53" s="44" t="n"/>
      <c r="L53" s="44" t="n"/>
      <c r="M53" s="44" t="n"/>
      <c r="N53" s="44" t="n"/>
      <c r="O53" s="44" t="n"/>
      <c r="P53" s="45" t="n"/>
      <c r="Q53" s="44" t="n"/>
      <c r="R53" s="44" t="n"/>
      <c r="S53" s="44" t="n"/>
      <c r="T53" s="44" t="n"/>
      <c r="U53" s="44" t="n"/>
      <c r="V53" s="45" t="n"/>
      <c r="W53" s="44" t="n"/>
      <c r="X53" s="44" t="n"/>
      <c r="Y53" s="44" t="n"/>
      <c r="Z53" s="44" t="n"/>
      <c r="AA53" s="44" t="n"/>
      <c r="AB53" s="45" t="n"/>
      <c r="AC53" s="44" t="n"/>
      <c r="AD53" s="44" t="n"/>
      <c r="AE53" s="44" t="n"/>
      <c r="AF53" s="44" t="n"/>
      <c r="AG53" s="42" t="n">
        <v>24</v>
      </c>
      <c r="AH53" s="42">
        <f>COUNTIF(G53:AF53,"X")*360.0/60</f>
        <v/>
      </c>
      <c r="AI53" s="42">
        <f>AH53-AG53</f>
        <v/>
      </c>
    </row>
    <row r="54">
      <c r="A54" s="39" t="inlineStr">
        <is>
          <t>Remoto de Equipos (REE)</t>
        </is>
      </c>
      <c r="B54" s="40" t="inlineStr">
        <is>
          <t>REE</t>
        </is>
      </c>
      <c r="C54" s="41" t="inlineStr">
        <is>
          <t>Entrega de REE a Administracion</t>
        </is>
      </c>
      <c r="D54" s="42" t="inlineStr">
        <is>
          <t>Semanal</t>
        </is>
      </c>
      <c r="E54" s="42" t="n">
        <v>25</v>
      </c>
      <c r="F54" s="43" t="inlineStr">
        <is>
          <t>Fija</t>
        </is>
      </c>
      <c r="G54" s="44" t="n"/>
      <c r="H54" s="44" t="n"/>
      <c r="I54" s="44" t="n"/>
      <c r="J54" s="45" t="n"/>
      <c r="K54" s="45" t="n"/>
      <c r="L54" s="44" t="n"/>
      <c r="M54" s="44" t="n"/>
      <c r="N54" s="44" t="n"/>
      <c r="O54" s="44" t="n"/>
      <c r="P54" s="45" t="n"/>
      <c r="Q54" s="45" t="n"/>
      <c r="R54" s="44" t="n"/>
      <c r="S54" s="44" t="n"/>
      <c r="T54" s="44" t="n"/>
      <c r="U54" s="44" t="n"/>
      <c r="V54" s="45" t="n"/>
      <c r="W54" s="45" t="n"/>
      <c r="X54" s="44" t="n"/>
      <c r="Y54" s="44" t="n"/>
      <c r="Z54" s="44" t="n"/>
      <c r="AA54" s="44" t="n"/>
      <c r="AB54" s="45" t="n"/>
      <c r="AC54" s="45" t="n"/>
      <c r="AD54" s="44" t="n"/>
      <c r="AE54" s="44" t="n"/>
      <c r="AF54" s="44" t="n"/>
      <c r="AG54" s="42" t="n">
        <v>3.33</v>
      </c>
      <c r="AH54" s="42">
        <f>COUNTIF(G54:AF54,"X")*25.0/60</f>
        <v/>
      </c>
      <c r="AI54" s="42">
        <f>AH54-AG54</f>
        <v/>
      </c>
    </row>
    <row r="55">
      <c r="A55" s="39" t="inlineStr">
        <is>
          <t>Remoto de Equipos (REE)</t>
        </is>
      </c>
      <c r="B55" s="40" t="inlineStr">
        <is>
          <t>REE</t>
        </is>
      </c>
      <c r="C55" s="41" t="inlineStr">
        <is>
          <t>Adjuntar facturas a remito Manager2</t>
        </is>
      </c>
      <c r="D55" s="42" t="inlineStr">
        <is>
          <t>Semanal</t>
        </is>
      </c>
      <c r="E55" s="42" t="n">
        <v>30</v>
      </c>
      <c r="F55" s="43" t="inlineStr">
        <is>
          <t>Fija</t>
        </is>
      </c>
      <c r="G55" s="44" t="n"/>
      <c r="H55" s="44" t="n"/>
      <c r="I55" s="44" t="n"/>
      <c r="J55" s="45" t="n"/>
      <c r="K55" s="45" t="n"/>
      <c r="L55" s="44" t="n"/>
      <c r="M55" s="44" t="n"/>
      <c r="N55" s="44" t="n"/>
      <c r="O55" s="44" t="n"/>
      <c r="P55" s="45" t="n"/>
      <c r="Q55" s="45" t="n"/>
      <c r="R55" s="44" t="n"/>
      <c r="S55" s="44" t="n"/>
      <c r="T55" s="44" t="n"/>
      <c r="U55" s="44" t="n"/>
      <c r="V55" s="45" t="n"/>
      <c r="W55" s="45" t="n"/>
      <c r="X55" s="44" t="n"/>
      <c r="Y55" s="44" t="n"/>
      <c r="Z55" s="44" t="n"/>
      <c r="AA55" s="44" t="n"/>
      <c r="AB55" s="45" t="n"/>
      <c r="AC55" s="45" t="n"/>
      <c r="AD55" s="44" t="n"/>
      <c r="AE55" s="44" t="n"/>
      <c r="AF55" s="44" t="n"/>
      <c r="AG55" s="42" t="n">
        <v>4</v>
      </c>
      <c r="AH55" s="42">
        <f>COUNTIF(G55:AF55,"X")*30.0/60</f>
        <v/>
      </c>
      <c r="AI55" s="42">
        <f>AH55-AG55</f>
        <v/>
      </c>
    </row>
    <row r="56">
      <c r="A56" s="37" t="inlineStr">
        <is>
          <t>Gestion de Flota (RM)</t>
        </is>
      </c>
      <c r="B56" s="38" t="n"/>
      <c r="C56" s="38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8" t="n"/>
      <c r="Z56" s="38" t="n"/>
      <c r="AA56" s="38" t="n"/>
      <c r="AB56" s="38" t="n"/>
      <c r="AC56" s="38" t="n"/>
      <c r="AD56" s="38" t="n"/>
      <c r="AE56" s="38" t="n"/>
      <c r="AF56" s="38" t="n"/>
      <c r="AG56" s="38" t="n"/>
      <c r="AH56" s="38" t="n"/>
      <c r="AI56" s="38" t="n"/>
    </row>
    <row r="57">
      <c r="A57" s="39" t="inlineStr">
        <is>
          <t>Gestion de Flota (RM)</t>
        </is>
      </c>
      <c r="B57" s="40" t="inlineStr">
        <is>
          <t>N/A</t>
        </is>
      </c>
      <c r="C57" s="41" t="inlineStr">
        <is>
          <t>Control ITV vehiculo AF061RG</t>
        </is>
      </c>
      <c r="D57" s="42" t="inlineStr">
        <is>
          <t>Semestral</t>
        </is>
      </c>
      <c r="E57" s="42" t="n">
        <v>5</v>
      </c>
      <c r="F57" s="43" t="inlineStr">
        <is>
          <t>No aplica este mes</t>
        </is>
      </c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  <c r="AE57" s="44" t="n"/>
      <c r="AF57" s="44" t="n"/>
      <c r="AG57" s="42" t="inlineStr">
        <is>
          <t>—</t>
        </is>
      </c>
      <c r="AH57" s="42">
        <f>COUNTIF(G57:AF57,"X")*5.0/60</f>
        <v/>
      </c>
      <c r="AI57" s="42" t="inlineStr">
        <is>
          <t>—</t>
        </is>
      </c>
    </row>
    <row r="58">
      <c r="A58" s="39" t="inlineStr">
        <is>
          <t>Gestion de Flota (RM)</t>
        </is>
      </c>
      <c r="B58" s="40" t="inlineStr">
        <is>
          <t>N/A</t>
        </is>
      </c>
      <c r="C58" s="41" t="inlineStr">
        <is>
          <t>Control impuestos vehiculo AF061RG</t>
        </is>
      </c>
      <c r="D58" s="42" t="inlineStr">
        <is>
          <t>Semestral</t>
        </is>
      </c>
      <c r="E58" s="42" t="n">
        <v>5</v>
      </c>
      <c r="F58" s="43" t="inlineStr">
        <is>
          <t>No aplica este mes</t>
        </is>
      </c>
      <c r="G58" s="44" t="n"/>
      <c r="H58" s="44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  <c r="AE58" s="44" t="n"/>
      <c r="AF58" s="44" t="n"/>
      <c r="AG58" s="42" t="inlineStr">
        <is>
          <t>—</t>
        </is>
      </c>
      <c r="AH58" s="42">
        <f>COUNTIF(G58:AF58,"X")*5.0/60</f>
        <v/>
      </c>
      <c r="AI58" s="42" t="inlineStr">
        <is>
          <t>—</t>
        </is>
      </c>
    </row>
    <row r="59">
      <c r="A59" s="39" t="inlineStr">
        <is>
          <t>Gestion de Flota (RM)</t>
        </is>
      </c>
      <c r="B59" s="40" t="inlineStr">
        <is>
          <t>N/A</t>
        </is>
      </c>
      <c r="C59" s="41" t="inlineStr">
        <is>
          <t>Control ITV vehiculo AC921LR</t>
        </is>
      </c>
      <c r="D59" s="42" t="inlineStr">
        <is>
          <t>Semestral</t>
        </is>
      </c>
      <c r="E59" s="42" t="n">
        <v>5</v>
      </c>
      <c r="F59" s="43" t="inlineStr">
        <is>
          <t>No aplica este mes</t>
        </is>
      </c>
      <c r="G59" s="44" t="n"/>
      <c r="H59" s="44" t="n"/>
      <c r="I59" s="44" t="n"/>
      <c r="J59" s="44" t="n"/>
      <c r="K59" s="44" t="n"/>
      <c r="L59" s="44" t="n"/>
      <c r="M59" s="44" t="n"/>
      <c r="N59" s="44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  <c r="AE59" s="44" t="n"/>
      <c r="AF59" s="44" t="n"/>
      <c r="AG59" s="42" t="inlineStr">
        <is>
          <t>—</t>
        </is>
      </c>
      <c r="AH59" s="42">
        <f>COUNTIF(G59:AF59,"X")*5.0/60</f>
        <v/>
      </c>
      <c r="AI59" s="42" t="inlineStr">
        <is>
          <t>—</t>
        </is>
      </c>
    </row>
    <row r="60">
      <c r="A60" s="39" t="inlineStr">
        <is>
          <t>Gestion de Flota (RM)</t>
        </is>
      </c>
      <c r="B60" s="40" t="inlineStr">
        <is>
          <t>N/A</t>
        </is>
      </c>
      <c r="C60" s="41" t="inlineStr">
        <is>
          <t>Control impuestos vehiculo AC921LR</t>
        </is>
      </c>
      <c r="D60" s="42" t="inlineStr">
        <is>
          <t>Semestral</t>
        </is>
      </c>
      <c r="E60" s="42" t="n">
        <v>5</v>
      </c>
      <c r="F60" s="43" t="inlineStr">
        <is>
          <t>No aplica este mes</t>
        </is>
      </c>
      <c r="G60" s="44" t="n"/>
      <c r="H60" s="44" t="n"/>
      <c r="I60" s="44" t="n"/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  <c r="AE60" s="44" t="n"/>
      <c r="AF60" s="44" t="n"/>
      <c r="AG60" s="42" t="inlineStr">
        <is>
          <t>—</t>
        </is>
      </c>
      <c r="AH60" s="42">
        <f>COUNTIF(G60:AF60,"X")*5.0/60</f>
        <v/>
      </c>
      <c r="AI60" s="42" t="inlineStr">
        <is>
          <t>—</t>
        </is>
      </c>
    </row>
    <row r="61">
      <c r="A61" s="37" t="inlineStr">
        <is>
          <t>TOP10 (Lunes)</t>
        </is>
      </c>
      <c r="B61" s="38" t="n"/>
      <c r="C61" s="38" t="n"/>
      <c r="D61" s="38" t="n"/>
      <c r="E61" s="38" t="n"/>
      <c r="F61" s="38" t="n"/>
      <c r="G61" s="38" t="n"/>
      <c r="H61" s="38" t="n"/>
      <c r="I61" s="38" t="n"/>
      <c r="J61" s="38" t="n"/>
      <c r="K61" s="38" t="n"/>
      <c r="L61" s="38" t="n"/>
      <c r="M61" s="38" t="n"/>
      <c r="N61" s="38" t="n"/>
      <c r="O61" s="38" t="n"/>
      <c r="P61" s="38" t="n"/>
      <c r="Q61" s="38" t="n"/>
      <c r="R61" s="38" t="n"/>
      <c r="S61" s="38" t="n"/>
      <c r="T61" s="38" t="n"/>
      <c r="U61" s="38" t="n"/>
      <c r="V61" s="38" t="n"/>
      <c r="W61" s="38" t="n"/>
      <c r="X61" s="38" t="n"/>
      <c r="Y61" s="38" t="n"/>
      <c r="Z61" s="38" t="n"/>
      <c r="AA61" s="38" t="n"/>
      <c r="AB61" s="38" t="n"/>
      <c r="AC61" s="38" t="n"/>
      <c r="AD61" s="38" t="n"/>
      <c r="AE61" s="38" t="n"/>
      <c r="AF61" s="38" t="n"/>
      <c r="AG61" s="38" t="n"/>
      <c r="AH61" s="38" t="n"/>
      <c r="AI61" s="38" t="n"/>
    </row>
    <row r="62">
      <c r="A62" s="39" t="inlineStr">
        <is>
          <t>TOP10</t>
        </is>
      </c>
      <c r="B62" s="40" t="inlineStr">
        <is>
          <t>Elaboracion y envio del informe semanal TOP10</t>
        </is>
      </c>
      <c r="C62" s="41" t="inlineStr">
        <is>
          <t>Actualizar Base de Datos de clientes (previo al informe)</t>
        </is>
      </c>
      <c r="D62" s="42" t="inlineStr">
        <is>
          <t>Semanal</t>
        </is>
      </c>
      <c r="E62" s="42" t="inlineStr">
        <is>
          <t>A confirmar</t>
        </is>
      </c>
      <c r="F62" s="43" t="inlineStr">
        <is>
          <t>Fija</t>
        </is>
      </c>
      <c r="G62" s="44" t="n"/>
      <c r="H62" s="45" t="n"/>
      <c r="I62" s="44" t="n"/>
      <c r="J62" s="44" t="n"/>
      <c r="K62" s="44" t="n"/>
      <c r="L62" s="44" t="n"/>
      <c r="M62" s="44" t="n"/>
      <c r="N62" s="45" t="n"/>
      <c r="O62" s="44" t="n"/>
      <c r="P62" s="44" t="n"/>
      <c r="Q62" s="44" t="n"/>
      <c r="R62" s="44" t="n"/>
      <c r="S62" s="44" t="n"/>
      <c r="T62" s="45" t="n"/>
      <c r="U62" s="44" t="n"/>
      <c r="V62" s="44" t="n"/>
      <c r="W62" s="44" t="n"/>
      <c r="X62" s="44" t="n"/>
      <c r="Y62" s="44" t="n"/>
      <c r="Z62" s="45" t="n"/>
      <c r="AA62" s="44" t="n"/>
      <c r="AB62" s="44" t="n"/>
      <c r="AC62" s="44" t="n"/>
      <c r="AD62" s="44" t="n"/>
      <c r="AE62" s="44" t="n"/>
      <c r="AF62" s="45" t="n"/>
      <c r="AG62" s="42" t="inlineStr">
        <is>
          <t>—</t>
        </is>
      </c>
      <c r="AH62" s="42">
        <f>COUNTIF(G62:AF62,"X")</f>
        <v/>
      </c>
      <c r="AI62" s="42" t="inlineStr">
        <is>
          <t>—</t>
        </is>
      </c>
    </row>
    <row r="63">
      <c r="A63" s="37" t="inlineStr">
        <is>
          <t>Preparacion y Directivas de ST (RM)</t>
        </is>
      </c>
      <c r="B63" s="38" t="n"/>
      <c r="C63" s="38" t="n"/>
      <c r="D63" s="38" t="n"/>
      <c r="E63" s="38" t="n"/>
      <c r="F63" s="38" t="n"/>
      <c r="G63" s="38" t="n"/>
      <c r="H63" s="38" t="n"/>
      <c r="I63" s="38" t="n"/>
      <c r="J63" s="38" t="n"/>
      <c r="K63" s="38" t="n"/>
      <c r="L63" s="38" t="n"/>
      <c r="M63" s="38" t="n"/>
      <c r="N63" s="38" t="n"/>
      <c r="O63" s="38" t="n"/>
      <c r="P63" s="38" t="n"/>
      <c r="Q63" s="38" t="n"/>
      <c r="R63" s="38" t="n"/>
      <c r="S63" s="38" t="n"/>
      <c r="T63" s="38" t="n"/>
      <c r="U63" s="38" t="n"/>
      <c r="V63" s="38" t="n"/>
      <c r="W63" s="38" t="n"/>
      <c r="X63" s="38" t="n"/>
      <c r="Y63" s="38" t="n"/>
      <c r="Z63" s="38" t="n"/>
      <c r="AA63" s="38" t="n"/>
      <c r="AB63" s="38" t="n"/>
      <c r="AC63" s="38" t="n"/>
      <c r="AD63" s="38" t="n"/>
      <c r="AE63" s="38" t="n"/>
      <c r="AF63" s="38" t="n"/>
      <c r="AG63" s="38" t="n"/>
      <c r="AH63" s="38" t="n"/>
      <c r="AI63" s="38" t="n"/>
    </row>
    <row r="64">
      <c r="A64" s="39" t="inlineStr">
        <is>
          <t>Preparacion y Directivas de ST (RM)</t>
        </is>
      </c>
      <c r="B64" s="40" t="inlineStr">
        <is>
          <t>N/A</t>
        </is>
      </c>
      <c r="C64" s="41" t="inlineStr">
        <is>
          <t>Preparacion de equipos (ST)</t>
        </is>
      </c>
      <c r="D64" s="42" t="inlineStr">
        <is>
          <t>Diario</t>
        </is>
      </c>
      <c r="E64" s="42" t="inlineStr">
        <is>
          <t>A confirmar</t>
        </is>
      </c>
      <c r="F64" s="43" t="inlineStr">
        <is>
          <t>Fija</t>
        </is>
      </c>
      <c r="G64" s="45" t="n"/>
      <c r="H64" s="45" t="n"/>
      <c r="I64" s="45" t="n"/>
      <c r="J64" s="45" t="n"/>
      <c r="K64" s="45" t="n"/>
      <c r="L64" s="45" t="n"/>
      <c r="M64" s="45" t="n"/>
      <c r="N64" s="45" t="n"/>
      <c r="O64" s="45" t="n"/>
      <c r="P64" s="45" t="n"/>
      <c r="Q64" s="45" t="n"/>
      <c r="R64" s="45" t="n"/>
      <c r="S64" s="45" t="n"/>
      <c r="T64" s="45" t="n"/>
      <c r="U64" s="45" t="n"/>
      <c r="V64" s="45" t="n"/>
      <c r="W64" s="45" t="n"/>
      <c r="X64" s="45" t="n"/>
      <c r="Y64" s="45" t="n"/>
      <c r="Z64" s="45" t="n"/>
      <c r="AA64" s="45" t="n"/>
      <c r="AB64" s="45" t="n"/>
      <c r="AC64" s="45" t="n"/>
      <c r="AD64" s="45" t="n"/>
      <c r="AE64" s="45" t="n"/>
      <c r="AF64" s="45" t="n"/>
      <c r="AG64" s="42" t="inlineStr">
        <is>
          <t>—</t>
        </is>
      </c>
      <c r="AH64" s="42">
        <f>COUNTIF(G64:AF64,"X")</f>
        <v/>
      </c>
      <c r="AI64" s="42" t="inlineStr">
        <is>
          <t>—</t>
        </is>
      </c>
    </row>
    <row r="65">
      <c r="A65" s="39" t="inlineStr">
        <is>
          <t>Preparacion y Directivas de ST (RM)</t>
        </is>
      </c>
      <c r="B65" s="40" t="inlineStr">
        <is>
          <t>N/A</t>
        </is>
      </c>
      <c r="C65" s="41" t="inlineStr">
        <is>
          <t>Carga de directivas tecnicas</t>
        </is>
      </c>
      <c r="D65" s="42" t="inlineStr">
        <is>
          <t>Semanal</t>
        </is>
      </c>
      <c r="E65" s="42" t="inlineStr">
        <is>
          <t>A confirmar</t>
        </is>
      </c>
      <c r="F65" s="43" t="inlineStr">
        <is>
          <t>Fija</t>
        </is>
      </c>
      <c r="G65" s="44" t="n"/>
      <c r="H65" s="45" t="n"/>
      <c r="I65" s="44" t="n"/>
      <c r="J65" s="44" t="n"/>
      <c r="K65" s="44" t="n"/>
      <c r="L65" s="44" t="n"/>
      <c r="M65" s="44" t="n"/>
      <c r="N65" s="45" t="n"/>
      <c r="O65" s="44" t="n"/>
      <c r="P65" s="44" t="n"/>
      <c r="Q65" s="44" t="n"/>
      <c r="R65" s="44" t="n"/>
      <c r="S65" s="44" t="n"/>
      <c r="T65" s="45" t="n"/>
      <c r="U65" s="44" t="n"/>
      <c r="V65" s="44" t="n"/>
      <c r="W65" s="44" t="n"/>
      <c r="X65" s="44" t="n"/>
      <c r="Y65" s="44" t="n"/>
      <c r="Z65" s="45" t="n"/>
      <c r="AA65" s="44" t="n"/>
      <c r="AB65" s="44" t="n"/>
      <c r="AC65" s="44" t="n"/>
      <c r="AD65" s="44" t="n"/>
      <c r="AE65" s="44" t="n"/>
      <c r="AF65" s="45" t="n"/>
      <c r="AG65" s="42" t="inlineStr">
        <is>
          <t>—</t>
        </is>
      </c>
      <c r="AH65" s="42">
        <f>COUNTIF(G65:AF65,"X")</f>
        <v/>
      </c>
      <c r="AI65" s="42" t="inlineStr">
        <is>
          <t>—</t>
        </is>
      </c>
    </row>
    <row r="66">
      <c r="A66" s="39" t="inlineStr">
        <is>
          <t>Preparacion y Directivas de ST (RM)</t>
        </is>
      </c>
      <c r="B66" s="40" t="inlineStr">
        <is>
          <t>N/A</t>
        </is>
      </c>
      <c r="C66" s="41" t="inlineStr">
        <is>
          <t>Entrega de directiva a Administracion</t>
        </is>
      </c>
      <c r="D66" s="42" t="inlineStr">
        <is>
          <t>Semanal</t>
        </is>
      </c>
      <c r="E66" s="42" t="n">
        <v>15</v>
      </c>
      <c r="F66" s="43" t="inlineStr">
        <is>
          <t>Fija</t>
        </is>
      </c>
      <c r="G66" s="44" t="n"/>
      <c r="H66" s="44" t="n"/>
      <c r="I66" s="44" t="n"/>
      <c r="J66" s="45" t="n"/>
      <c r="K66" s="44" t="n"/>
      <c r="L66" s="44" t="n"/>
      <c r="M66" s="44" t="n"/>
      <c r="N66" s="44" t="n"/>
      <c r="O66" s="44" t="n"/>
      <c r="P66" s="45" t="n"/>
      <c r="Q66" s="44" t="n"/>
      <c r="R66" s="44" t="n"/>
      <c r="S66" s="44" t="n"/>
      <c r="T66" s="44" t="n"/>
      <c r="U66" s="44" t="n"/>
      <c r="V66" s="45" t="n"/>
      <c r="W66" s="44" t="n"/>
      <c r="X66" s="44" t="n"/>
      <c r="Y66" s="44" t="n"/>
      <c r="Z66" s="44" t="n"/>
      <c r="AA66" s="44" t="n"/>
      <c r="AB66" s="45" t="n"/>
      <c r="AC66" s="44" t="n"/>
      <c r="AD66" s="44" t="n"/>
      <c r="AE66" s="44" t="n"/>
      <c r="AF66" s="44" t="n"/>
      <c r="AG66" s="42" t="n">
        <v>1</v>
      </c>
      <c r="AH66" s="42">
        <f>COUNTIF(G66:AF66,"X")*15.0/60</f>
        <v/>
      </c>
      <c r="AI66" s="42">
        <f>AH66-AG66</f>
        <v/>
      </c>
    </row>
    <row r="67">
      <c r="A67" s="39" t="inlineStr">
        <is>
          <t>Preparacion y Directivas de ST (RM)</t>
        </is>
      </c>
      <c r="B67" s="40" t="inlineStr">
        <is>
          <t>N/A</t>
        </is>
      </c>
      <c r="C67" s="41" t="inlineStr">
        <is>
          <t>Control de buen estado receptoras IPR512 (R-11)</t>
        </is>
      </c>
      <c r="D67" s="42" t="inlineStr">
        <is>
          <t>Diario</t>
        </is>
      </c>
      <c r="E67" s="42" t="inlineStr">
        <is>
          <t>A confirmar</t>
        </is>
      </c>
      <c r="F67" s="43" t="inlineStr">
        <is>
          <t>Fija</t>
        </is>
      </c>
      <c r="G67" s="45" t="n"/>
      <c r="H67" s="45" t="n"/>
      <c r="I67" s="45" t="n"/>
      <c r="J67" s="45" t="n"/>
      <c r="K67" s="45" t="n"/>
      <c r="L67" s="45" t="n"/>
      <c r="M67" s="45" t="n"/>
      <c r="N67" s="45" t="n"/>
      <c r="O67" s="45" t="n"/>
      <c r="P67" s="45" t="n"/>
      <c r="Q67" s="45" t="n"/>
      <c r="R67" s="45" t="n"/>
      <c r="S67" s="45" t="n"/>
      <c r="T67" s="45" t="n"/>
      <c r="U67" s="45" t="n"/>
      <c r="V67" s="45" t="n"/>
      <c r="W67" s="45" t="n"/>
      <c r="X67" s="45" t="n"/>
      <c r="Y67" s="45" t="n"/>
      <c r="Z67" s="45" t="n"/>
      <c r="AA67" s="45" t="n"/>
      <c r="AB67" s="45" t="n"/>
      <c r="AC67" s="45" t="n"/>
      <c r="AD67" s="45" t="n"/>
      <c r="AE67" s="45" t="n"/>
      <c r="AF67" s="45" t="n"/>
      <c r="AG67" s="42" t="inlineStr">
        <is>
          <t>—</t>
        </is>
      </c>
      <c r="AH67" s="42">
        <f>COUNTIF(G67:AF67,"X")</f>
        <v/>
      </c>
      <c r="AI67" s="42" t="inlineStr">
        <is>
          <t>—</t>
        </is>
      </c>
    </row>
    <row r="68">
      <c r="A68" s="39" t="inlineStr">
        <is>
          <t>Preparacion y Directivas de ST (RM)</t>
        </is>
      </c>
      <c r="B68" s="40" t="inlineStr">
        <is>
          <t>N/A</t>
        </is>
      </c>
      <c r="C68" s="41" t="inlineStr">
        <is>
          <t>Mandar mensajes a AVATEC 02</t>
        </is>
      </c>
      <c r="D68" s="42" t="inlineStr">
        <is>
          <t>Diario</t>
        </is>
      </c>
      <c r="E68" s="42" t="inlineStr">
        <is>
          <t>A confirmar</t>
        </is>
      </c>
      <c r="F68" s="43" t="inlineStr">
        <is>
          <t>Fija</t>
        </is>
      </c>
      <c r="G68" s="45" t="n"/>
      <c r="H68" s="45" t="n"/>
      <c r="I68" s="45" t="n"/>
      <c r="J68" s="45" t="n"/>
      <c r="K68" s="45" t="n"/>
      <c r="L68" s="45" t="n"/>
      <c r="M68" s="45" t="n"/>
      <c r="N68" s="45" t="n"/>
      <c r="O68" s="45" t="n"/>
      <c r="P68" s="45" t="n"/>
      <c r="Q68" s="45" t="n"/>
      <c r="R68" s="45" t="n"/>
      <c r="S68" s="45" t="n"/>
      <c r="T68" s="45" t="n"/>
      <c r="U68" s="45" t="n"/>
      <c r="V68" s="45" t="n"/>
      <c r="W68" s="45" t="n"/>
      <c r="X68" s="45" t="n"/>
      <c r="Y68" s="45" t="n"/>
      <c r="Z68" s="45" t="n"/>
      <c r="AA68" s="45" t="n"/>
      <c r="AB68" s="45" t="n"/>
      <c r="AC68" s="45" t="n"/>
      <c r="AD68" s="45" t="n"/>
      <c r="AE68" s="45" t="n"/>
      <c r="AF68" s="45" t="n"/>
      <c r="AG68" s="42" t="inlineStr">
        <is>
          <t>—</t>
        </is>
      </c>
      <c r="AH68" s="42">
        <f>COUNTIF(G68:AF68,"X")</f>
        <v/>
      </c>
      <c r="AI68" s="42" t="inlineStr">
        <is>
          <t>—</t>
        </is>
      </c>
    </row>
    <row r="69">
      <c r="A69" s="37" t="inlineStr">
        <is>
          <t>Tareas Reactivas (Interrupciones)</t>
        </is>
      </c>
      <c r="B69" s="38" t="n"/>
      <c r="C69" s="38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8" t="n"/>
      <c r="Z69" s="38" t="n"/>
      <c r="AA69" s="38" t="n"/>
      <c r="AB69" s="38" t="n"/>
      <c r="AC69" s="38" t="n"/>
      <c r="AD69" s="38" t="n"/>
      <c r="AE69" s="38" t="n"/>
      <c r="AF69" s="38" t="n"/>
      <c r="AG69" s="38" t="n"/>
      <c r="AH69" s="38" t="n"/>
      <c r="AI69" s="38" t="n"/>
    </row>
    <row r="70">
      <c r="A70" s="39" t="inlineStr">
        <is>
          <t>Tareas Reactivas (Interrupciones)</t>
        </is>
      </c>
      <c r="B70" s="40" t="inlineStr">
        <is>
          <t>N/A</t>
        </is>
      </c>
      <c r="C70" s="41" t="inlineStr">
        <is>
          <t>Coordinar instalaciones NCS</t>
        </is>
      </c>
      <c r="D70" s="42" t="inlineStr">
        <is>
          <t>Semanal</t>
        </is>
      </c>
      <c r="E70" s="42" t="n">
        <v>5</v>
      </c>
      <c r="F70" s="43" t="inlineStr">
        <is>
          <t>Cualquier día (reactiva)</t>
        </is>
      </c>
      <c r="G70" s="46" t="n"/>
      <c r="H70" s="46" t="n"/>
      <c r="I70" s="46" t="n"/>
      <c r="J70" s="46" t="n"/>
      <c r="K70" s="46" t="n"/>
      <c r="L70" s="46" t="n"/>
      <c r="M70" s="46" t="n"/>
      <c r="N70" s="46" t="n"/>
      <c r="O70" s="46" t="n"/>
      <c r="P70" s="46" t="n"/>
      <c r="Q70" s="46" t="n"/>
      <c r="R70" s="46" t="n"/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6" t="n"/>
      <c r="AB70" s="46" t="n"/>
      <c r="AC70" s="46" t="n"/>
      <c r="AD70" s="46" t="n"/>
      <c r="AE70" s="46" t="n"/>
      <c r="AF70" s="46" t="n"/>
      <c r="AG70" s="42" t="inlineStr">
        <is>
          <t>—</t>
        </is>
      </c>
      <c r="AH70" s="42">
        <f>COUNTIF(G70:AF70,"X")*5.0/60</f>
        <v/>
      </c>
      <c r="AI70" s="42" t="inlineStr">
        <is>
          <t>—</t>
        </is>
      </c>
    </row>
    <row r="71">
      <c r="A71" s="39" t="inlineStr">
        <is>
          <t>Tareas Reactivas (Interrupciones)</t>
        </is>
      </c>
      <c r="B71" s="40" t="inlineStr">
        <is>
          <t>N/A</t>
        </is>
      </c>
      <c r="C71" s="41" t="inlineStr">
        <is>
          <t>Responder informes de Monitoreo</t>
        </is>
      </c>
      <c r="D71" s="42" t="inlineStr">
        <is>
          <t>IntraDiario</t>
        </is>
      </c>
      <c r="E71" s="42" t="n">
        <v>60</v>
      </c>
      <c r="F71" s="43" t="inlineStr">
        <is>
          <t>Cualquier día (reactiva)</t>
        </is>
      </c>
      <c r="G71" s="46" t="n"/>
      <c r="H71" s="46" t="n"/>
      <c r="I71" s="46" t="n"/>
      <c r="J71" s="46" t="n"/>
      <c r="K71" s="46" t="n"/>
      <c r="L71" s="46" t="n"/>
      <c r="M71" s="46" t="n"/>
      <c r="N71" s="46" t="n"/>
      <c r="O71" s="46" t="n"/>
      <c r="P71" s="46" t="n"/>
      <c r="Q71" s="46" t="n"/>
      <c r="R71" s="46" t="n"/>
      <c r="S71" s="46" t="n"/>
      <c r="T71" s="46" t="n"/>
      <c r="U71" s="46" t="n"/>
      <c r="V71" s="46" t="n"/>
      <c r="W71" s="46" t="n"/>
      <c r="X71" s="46" t="n"/>
      <c r="Y71" s="46" t="n"/>
      <c r="Z71" s="46" t="n"/>
      <c r="AA71" s="46" t="n"/>
      <c r="AB71" s="46" t="n"/>
      <c r="AC71" s="46" t="n"/>
      <c r="AD71" s="46" t="n"/>
      <c r="AE71" s="46" t="n"/>
      <c r="AF71" s="46" t="n"/>
      <c r="AG71" s="42" t="inlineStr">
        <is>
          <t>—</t>
        </is>
      </c>
      <c r="AH71" s="42">
        <f>COUNTIF(G71:AF71,"X")*60.0/60</f>
        <v/>
      </c>
      <c r="AI71" s="42" t="inlineStr">
        <is>
          <t>—</t>
        </is>
      </c>
    </row>
    <row r="72">
      <c r="A72" s="39" t="inlineStr">
        <is>
          <t>Tareas Reactivas (Interrupciones)</t>
        </is>
      </c>
      <c r="B72" s="40" t="inlineStr">
        <is>
          <t>N/A</t>
        </is>
      </c>
      <c r="C72" s="41" t="inlineStr">
        <is>
          <t>Responder informes de Pvillarreal (CM)</t>
        </is>
      </c>
      <c r="D72" s="42" t="inlineStr">
        <is>
          <t>IntraDiario</t>
        </is>
      </c>
      <c r="E72" s="42" t="inlineStr">
        <is>
          <t>A confirmar</t>
        </is>
      </c>
      <c r="F72" s="43" t="inlineStr">
        <is>
          <t>Cualquier día (reactiva)</t>
        </is>
      </c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6" t="n"/>
      <c r="R72" s="46" t="n"/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6" t="n"/>
      <c r="AB72" s="46" t="n"/>
      <c r="AC72" s="46" t="n"/>
      <c r="AD72" s="46" t="n"/>
      <c r="AE72" s="46" t="n"/>
      <c r="AF72" s="46" t="n"/>
      <c r="AG72" s="42" t="inlineStr">
        <is>
          <t>—</t>
        </is>
      </c>
      <c r="AH72" s="42">
        <f>COUNTIF(G72:AF72,"X")</f>
        <v/>
      </c>
      <c r="AI72" s="42" t="inlineStr">
        <is>
          <t>—</t>
        </is>
      </c>
    </row>
    <row r="73">
      <c r="A73" s="39" t="inlineStr">
        <is>
          <t>Tareas Reactivas (Interrupciones)</t>
        </is>
      </c>
      <c r="B73" s="40" t="inlineStr">
        <is>
          <t>N/A</t>
        </is>
      </c>
      <c r="C73" s="41" t="inlineStr">
        <is>
          <t>Guardar y etiquetar stock que ingresa fuera de horario</t>
        </is>
      </c>
      <c r="D73" s="42" t="inlineStr">
        <is>
          <t>Quincenal</t>
        </is>
      </c>
      <c r="E73" s="42" t="n">
        <v>120</v>
      </c>
      <c r="F73" s="43" t="inlineStr">
        <is>
          <t>Cualquier día (reactiva)</t>
        </is>
      </c>
      <c r="G73" s="46" t="n"/>
      <c r="H73" s="46" t="n"/>
      <c r="I73" s="46" t="n"/>
      <c r="J73" s="46" t="n"/>
      <c r="K73" s="46" t="n"/>
      <c r="L73" s="46" t="n"/>
      <c r="M73" s="46" t="n"/>
      <c r="N73" s="46" t="n"/>
      <c r="O73" s="46" t="n"/>
      <c r="P73" s="46" t="n"/>
      <c r="Q73" s="46" t="n"/>
      <c r="R73" s="46" t="n"/>
      <c r="S73" s="46" t="n"/>
      <c r="T73" s="46" t="n"/>
      <c r="U73" s="46" t="n"/>
      <c r="V73" s="46" t="n"/>
      <c r="W73" s="46" t="n"/>
      <c r="X73" s="46" t="n"/>
      <c r="Y73" s="46" t="n"/>
      <c r="Z73" s="46" t="n"/>
      <c r="AA73" s="46" t="n"/>
      <c r="AB73" s="46" t="n"/>
      <c r="AC73" s="46" t="n"/>
      <c r="AD73" s="46" t="n"/>
      <c r="AE73" s="46" t="n"/>
      <c r="AF73" s="46" t="n"/>
      <c r="AG73" s="42" t="inlineStr">
        <is>
          <t>—</t>
        </is>
      </c>
      <c r="AH73" s="42">
        <f>COUNTIF(G73:AF73,"X")*120.0/60</f>
        <v/>
      </c>
      <c r="AI73" s="42" t="inlineStr">
        <is>
          <t>—</t>
        </is>
      </c>
    </row>
    <row r="74">
      <c r="A74" s="39" t="inlineStr">
        <is>
          <t>Tareas Reactivas (Interrupciones)</t>
        </is>
      </c>
      <c r="B74" s="40" t="inlineStr">
        <is>
          <t>N/A</t>
        </is>
      </c>
      <c r="C74" s="41" t="inlineStr">
        <is>
          <t>Recibir devolucion de instalacion (LM)</t>
        </is>
      </c>
      <c r="D74" s="42" t="inlineStr">
        <is>
          <t>Semanal</t>
        </is>
      </c>
      <c r="E74" s="42" t="n">
        <v>20</v>
      </c>
      <c r="F74" s="43" t="inlineStr">
        <is>
          <t>Fija</t>
        </is>
      </c>
      <c r="G74" s="44" t="n"/>
      <c r="H74" s="45" t="n"/>
      <c r="I74" s="44" t="n"/>
      <c r="J74" s="44" t="n"/>
      <c r="K74" s="44" t="n"/>
      <c r="L74" s="44" t="n"/>
      <c r="M74" s="44" t="n"/>
      <c r="N74" s="45" t="n"/>
      <c r="O74" s="44" t="n"/>
      <c r="P74" s="44" t="n"/>
      <c r="Q74" s="44" t="n"/>
      <c r="R74" s="44" t="n"/>
      <c r="S74" s="44" t="n"/>
      <c r="T74" s="45" t="n"/>
      <c r="U74" s="44" t="n"/>
      <c r="V74" s="44" t="n"/>
      <c r="W74" s="44" t="n"/>
      <c r="X74" s="44" t="n"/>
      <c r="Y74" s="44" t="n"/>
      <c r="Z74" s="45" t="n"/>
      <c r="AA74" s="44" t="n"/>
      <c r="AB74" s="44" t="n"/>
      <c r="AC74" s="44" t="n"/>
      <c r="AD74" s="44" t="n"/>
      <c r="AE74" s="44" t="n"/>
      <c r="AF74" s="45" t="n"/>
      <c r="AG74" s="42" t="n">
        <v>1.67</v>
      </c>
      <c r="AH74" s="42">
        <f>COUNTIF(G74:AF74,"X")*20.0/60</f>
        <v/>
      </c>
      <c r="AI74" s="42">
        <f>AH74-AG74</f>
        <v/>
      </c>
    </row>
    <row r="75">
      <c r="A75" s="39" t="inlineStr">
        <is>
          <t>Tareas Reactivas (Interrupciones)</t>
        </is>
      </c>
      <c r="B75" s="40" t="inlineStr">
        <is>
          <t>N/A</t>
        </is>
      </c>
      <c r="C75" s="41" t="inlineStr">
        <is>
          <t>Recibir devolucion de instalacion (AA)</t>
        </is>
      </c>
      <c r="D75" s="42" t="inlineStr">
        <is>
          <t>Semanal</t>
        </is>
      </c>
      <c r="E75" s="42" t="n">
        <v>20</v>
      </c>
      <c r="F75" s="43" t="inlineStr">
        <is>
          <t>Fija</t>
        </is>
      </c>
      <c r="G75" s="44" t="n"/>
      <c r="H75" s="45" t="n"/>
      <c r="I75" s="44" t="n"/>
      <c r="J75" s="44" t="n"/>
      <c r="K75" s="44" t="n"/>
      <c r="L75" s="44" t="n"/>
      <c r="M75" s="44" t="n"/>
      <c r="N75" s="45" t="n"/>
      <c r="O75" s="44" t="n"/>
      <c r="P75" s="44" t="n"/>
      <c r="Q75" s="44" t="n"/>
      <c r="R75" s="44" t="n"/>
      <c r="S75" s="44" t="n"/>
      <c r="T75" s="45" t="n"/>
      <c r="U75" s="44" t="n"/>
      <c r="V75" s="44" t="n"/>
      <c r="W75" s="44" t="n"/>
      <c r="X75" s="44" t="n"/>
      <c r="Y75" s="44" t="n"/>
      <c r="Z75" s="45" t="n"/>
      <c r="AA75" s="44" t="n"/>
      <c r="AB75" s="44" t="n"/>
      <c r="AC75" s="44" t="n"/>
      <c r="AD75" s="44" t="n"/>
      <c r="AE75" s="44" t="n"/>
      <c r="AF75" s="45" t="n"/>
      <c r="AG75" s="42" t="n">
        <v>1.67</v>
      </c>
      <c r="AH75" s="42">
        <f>COUNTIF(G75:AF75,"X")*20.0/60</f>
        <v/>
      </c>
      <c r="AI75" s="42">
        <f>AH75-AG75</f>
        <v/>
      </c>
    </row>
    <row r="76">
      <c r="A76" s="39" t="inlineStr">
        <is>
          <t>Tareas Reactivas (Interrupciones)</t>
        </is>
      </c>
      <c r="B76" s="40" t="inlineStr">
        <is>
          <t>N/A</t>
        </is>
      </c>
      <c r="C76" s="41" t="inlineStr">
        <is>
          <t>Atender telefono</t>
        </is>
      </c>
      <c r="D76" s="42" t="inlineStr">
        <is>
          <t>Diario</t>
        </is>
      </c>
      <c r="E76" s="42" t="inlineStr">
        <is>
          <t>A confirmar</t>
        </is>
      </c>
      <c r="F76" s="43" t="inlineStr">
        <is>
          <t>Cualquier día (reactiva)</t>
        </is>
      </c>
      <c r="G76" s="46" t="n"/>
      <c r="H76" s="46" t="n"/>
      <c r="I76" s="46" t="n"/>
      <c r="J76" s="46" t="n"/>
      <c r="K76" s="46" t="n"/>
      <c r="L76" s="46" t="n"/>
      <c r="M76" s="46" t="n"/>
      <c r="N76" s="46" t="n"/>
      <c r="O76" s="46" t="n"/>
      <c r="P76" s="46" t="n"/>
      <c r="Q76" s="46" t="n"/>
      <c r="R76" s="46" t="n"/>
      <c r="S76" s="46" t="n"/>
      <c r="T76" s="46" t="n"/>
      <c r="U76" s="46" t="n"/>
      <c r="V76" s="46" t="n"/>
      <c r="W76" s="46" t="n"/>
      <c r="X76" s="46" t="n"/>
      <c r="Y76" s="46" t="n"/>
      <c r="Z76" s="46" t="n"/>
      <c r="AA76" s="46" t="n"/>
      <c r="AB76" s="46" t="n"/>
      <c r="AC76" s="46" t="n"/>
      <c r="AD76" s="46" t="n"/>
      <c r="AE76" s="46" t="n"/>
      <c r="AF76" s="46" t="n"/>
      <c r="AG76" s="42" t="inlineStr">
        <is>
          <t>—</t>
        </is>
      </c>
      <c r="AH76" s="42">
        <f>COUNTIF(G76:AF76,"X")</f>
        <v/>
      </c>
      <c r="AI76" s="42" t="inlineStr">
        <is>
          <t>—</t>
        </is>
      </c>
    </row>
    <row r="77">
      <c r="A77" s="39" t="inlineStr">
        <is>
          <t>Tareas Reactivas (Interrupciones)</t>
        </is>
      </c>
      <c r="B77" s="40" t="inlineStr">
        <is>
          <t>N/A</t>
        </is>
      </c>
      <c r="C77" s="41" t="inlineStr">
        <is>
          <t>Atender tecnico en sitio</t>
        </is>
      </c>
      <c r="D77" s="42" t="inlineStr">
        <is>
          <t>Diario</t>
        </is>
      </c>
      <c r="E77" s="42" t="inlineStr">
        <is>
          <t>A confirmar</t>
        </is>
      </c>
      <c r="F77" s="43" t="inlineStr">
        <is>
          <t>Cualquier día (reactiva)</t>
        </is>
      </c>
      <c r="G77" s="46" t="n"/>
      <c r="H77" s="46" t="n"/>
      <c r="I77" s="46" t="n"/>
      <c r="J77" s="46" t="n"/>
      <c r="K77" s="46" t="n"/>
      <c r="L77" s="46" t="n"/>
      <c r="M77" s="46" t="n"/>
      <c r="N77" s="46" t="n"/>
      <c r="O77" s="46" t="n"/>
      <c r="P77" s="46" t="n"/>
      <c r="Q77" s="46" t="n"/>
      <c r="R77" s="46" t="n"/>
      <c r="S77" s="46" t="n"/>
      <c r="T77" s="46" t="n"/>
      <c r="U77" s="46" t="n"/>
      <c r="V77" s="46" t="n"/>
      <c r="W77" s="46" t="n"/>
      <c r="X77" s="46" t="n"/>
      <c r="Y77" s="46" t="n"/>
      <c r="Z77" s="46" t="n"/>
      <c r="AA77" s="46" t="n"/>
      <c r="AB77" s="46" t="n"/>
      <c r="AC77" s="46" t="n"/>
      <c r="AD77" s="46" t="n"/>
      <c r="AE77" s="46" t="n"/>
      <c r="AF77" s="46" t="n"/>
      <c r="AG77" s="42" t="inlineStr">
        <is>
          <t>—</t>
        </is>
      </c>
      <c r="AH77" s="42">
        <f>COUNTIF(G77:AF77,"X")</f>
        <v/>
      </c>
      <c r="AI77" s="42" t="inlineStr">
        <is>
          <t>—</t>
        </is>
      </c>
    </row>
    <row r="78">
      <c r="A78" s="39" t="inlineStr">
        <is>
          <t>Tareas Reactivas (Interrupciones)</t>
        </is>
      </c>
      <c r="B78" s="40" t="inlineStr">
        <is>
          <t>N/A</t>
        </is>
      </c>
      <c r="C78" s="41" t="inlineStr">
        <is>
          <t>Ingresar de forma remota por BabyWare</t>
        </is>
      </c>
      <c r="D78" s="42" t="inlineStr">
        <is>
          <t>IntraDiario</t>
        </is>
      </c>
      <c r="E78" s="42" t="inlineStr">
        <is>
          <t>A confirmar</t>
        </is>
      </c>
      <c r="F78" s="43" t="inlineStr">
        <is>
          <t>Cualquier día (reactiva)</t>
        </is>
      </c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n"/>
      <c r="P78" s="46" t="n"/>
      <c r="Q78" s="46" t="n"/>
      <c r="R78" s="46" t="n"/>
      <c r="S78" s="46" t="n"/>
      <c r="T78" s="46" t="n"/>
      <c r="U78" s="46" t="n"/>
      <c r="V78" s="46" t="n"/>
      <c r="W78" s="46" t="n"/>
      <c r="X78" s="46" t="n"/>
      <c r="Y78" s="46" t="n"/>
      <c r="Z78" s="46" t="n"/>
      <c r="AA78" s="46" t="n"/>
      <c r="AB78" s="46" t="n"/>
      <c r="AC78" s="46" t="n"/>
      <c r="AD78" s="46" t="n"/>
      <c r="AE78" s="46" t="n"/>
      <c r="AF78" s="46" t="n"/>
      <c r="AG78" s="42" t="inlineStr">
        <is>
          <t>—</t>
        </is>
      </c>
      <c r="AH78" s="42">
        <f>COUNTIF(G78:AF78,"X")</f>
        <v/>
      </c>
      <c r="AI78" s="42" t="inlineStr">
        <is>
          <t>—</t>
        </is>
      </c>
    </row>
    <row r="79">
      <c r="A79" s="39" t="inlineStr">
        <is>
          <t>Tareas Reactivas (Interrupciones)</t>
        </is>
      </c>
      <c r="B79" s="40" t="inlineStr">
        <is>
          <t>N/A</t>
        </is>
      </c>
      <c r="C79" s="41" t="inlineStr">
        <is>
          <t>Mandar mensajes a Chips Jasper</t>
        </is>
      </c>
      <c r="D79" s="42" t="inlineStr">
        <is>
          <t>IntraDiario</t>
        </is>
      </c>
      <c r="E79" s="42" t="inlineStr">
        <is>
          <t>A confirmar</t>
        </is>
      </c>
      <c r="F79" s="43" t="inlineStr">
        <is>
          <t>Cualquier día (reactiva)</t>
        </is>
      </c>
      <c r="G79" s="46" t="n"/>
      <c r="H79" s="46" t="n"/>
      <c r="I79" s="46" t="n"/>
      <c r="J79" s="46" t="n"/>
      <c r="K79" s="46" t="n"/>
      <c r="L79" s="46" t="n"/>
      <c r="M79" s="46" t="n"/>
      <c r="N79" s="46" t="n"/>
      <c r="O79" s="46" t="n"/>
      <c r="P79" s="46" t="n"/>
      <c r="Q79" s="46" t="n"/>
      <c r="R79" s="46" t="n"/>
      <c r="S79" s="46" t="n"/>
      <c r="T79" s="46" t="n"/>
      <c r="U79" s="46" t="n"/>
      <c r="V79" s="46" t="n"/>
      <c r="W79" s="46" t="n"/>
      <c r="X79" s="46" t="n"/>
      <c r="Y79" s="46" t="n"/>
      <c r="Z79" s="46" t="n"/>
      <c r="AA79" s="46" t="n"/>
      <c r="AB79" s="46" t="n"/>
      <c r="AC79" s="46" t="n"/>
      <c r="AD79" s="46" t="n"/>
      <c r="AE79" s="46" t="n"/>
      <c r="AF79" s="46" t="n"/>
      <c r="AG79" s="42" t="inlineStr">
        <is>
          <t>—</t>
        </is>
      </c>
      <c r="AH79" s="42">
        <f>COUNTIF(G79:AF79,"X")</f>
        <v/>
      </c>
      <c r="AI79" s="42" t="inlineStr">
        <is>
          <t>—</t>
        </is>
      </c>
    </row>
    <row r="80">
      <c r="A80" s="39" t="inlineStr">
        <is>
          <t>Tareas Reactivas (Interrupciones)</t>
        </is>
      </c>
      <c r="B80" s="40" t="inlineStr">
        <is>
          <t>N/A</t>
        </is>
      </c>
      <c r="C80" s="41" t="inlineStr">
        <is>
          <t>Informar robo por Telegram</t>
        </is>
      </c>
      <c r="D80" s="42" t="inlineStr">
        <is>
          <t>IntraDiario</t>
        </is>
      </c>
      <c r="E80" s="42" t="inlineStr">
        <is>
          <t>A confirmar</t>
        </is>
      </c>
      <c r="F80" s="43" t="inlineStr">
        <is>
          <t>Cualquier día (reactiva)</t>
        </is>
      </c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6" t="n"/>
      <c r="R80" s="46" t="n"/>
      <c r="S80" s="46" t="n"/>
      <c r="T80" s="46" t="n"/>
      <c r="U80" s="46" t="n"/>
      <c r="V80" s="46" t="n"/>
      <c r="W80" s="46" t="n"/>
      <c r="X80" s="46" t="n"/>
      <c r="Y80" s="46" t="n"/>
      <c r="Z80" s="46" t="n"/>
      <c r="AA80" s="46" t="n"/>
      <c r="AB80" s="46" t="n"/>
      <c r="AC80" s="46" t="n"/>
      <c r="AD80" s="46" t="n"/>
      <c r="AE80" s="46" t="n"/>
      <c r="AF80" s="46" t="n"/>
      <c r="AG80" s="42" t="inlineStr">
        <is>
          <t>—</t>
        </is>
      </c>
      <c r="AH80" s="42">
        <f>COUNTIF(G80:AF80,"X")</f>
        <v/>
      </c>
      <c r="AI80" s="42" t="inlineStr">
        <is>
          <t>—</t>
        </is>
      </c>
    </row>
    <row r="81">
      <c r="A81" s="39" t="inlineStr">
        <is>
          <t>Tareas Reactivas (Interrupciones)</t>
        </is>
      </c>
      <c r="B81" s="40" t="inlineStr">
        <is>
          <t>N/A</t>
        </is>
      </c>
      <c r="C81" s="41" t="inlineStr">
        <is>
          <t>Atender llamadas de clientes (celular)</t>
        </is>
      </c>
      <c r="D81" s="42" t="inlineStr">
        <is>
          <t>IntraDiario</t>
        </is>
      </c>
      <c r="E81" s="42" t="inlineStr">
        <is>
          <t>A confirmar</t>
        </is>
      </c>
      <c r="F81" s="43" t="inlineStr">
        <is>
          <t>Cualquier día (reactiva)</t>
        </is>
      </c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46" t="n"/>
      <c r="V81" s="46" t="n"/>
      <c r="W81" s="46" t="n"/>
      <c r="X81" s="46" t="n"/>
      <c r="Y81" s="46" t="n"/>
      <c r="Z81" s="46" t="n"/>
      <c r="AA81" s="46" t="n"/>
      <c r="AB81" s="46" t="n"/>
      <c r="AC81" s="46" t="n"/>
      <c r="AD81" s="46" t="n"/>
      <c r="AE81" s="46" t="n"/>
      <c r="AF81" s="46" t="n"/>
      <c r="AG81" s="42" t="inlineStr">
        <is>
          <t>—</t>
        </is>
      </c>
      <c r="AH81" s="42">
        <f>COUNTIF(G81:AF81,"X")</f>
        <v/>
      </c>
      <c r="AI81" s="42" t="inlineStr">
        <is>
          <t>—</t>
        </is>
      </c>
    </row>
    <row r="82">
      <c r="A82" s="39" t="inlineStr">
        <is>
          <t>Tareas Reactivas (Interrupciones)</t>
        </is>
      </c>
      <c r="B82" s="40" t="inlineStr">
        <is>
          <t>N/A</t>
        </is>
      </c>
      <c r="C82" s="41" t="inlineStr">
        <is>
          <t>Carga de Servicio Tecnico (coordinacion)</t>
        </is>
      </c>
      <c r="D82" s="42" t="inlineStr">
        <is>
          <t>Diario</t>
        </is>
      </c>
      <c r="E82" s="42" t="inlineStr">
        <is>
          <t>A confirmar</t>
        </is>
      </c>
      <c r="F82" s="43" t="inlineStr">
        <is>
          <t>Fija</t>
        </is>
      </c>
      <c r="G82" s="45" t="n"/>
      <c r="H82" s="45" t="n"/>
      <c r="I82" s="45" t="n"/>
      <c r="J82" s="45" t="n"/>
      <c r="K82" s="45" t="n"/>
      <c r="L82" s="45" t="n"/>
      <c r="M82" s="45" t="n"/>
      <c r="N82" s="45" t="n"/>
      <c r="O82" s="45" t="n"/>
      <c r="P82" s="45" t="n"/>
      <c r="Q82" s="45" t="n"/>
      <c r="R82" s="45" t="n"/>
      <c r="S82" s="45" t="n"/>
      <c r="T82" s="45" t="n"/>
      <c r="U82" s="45" t="n"/>
      <c r="V82" s="45" t="n"/>
      <c r="W82" s="45" t="n"/>
      <c r="X82" s="45" t="n"/>
      <c r="Y82" s="45" t="n"/>
      <c r="Z82" s="45" t="n"/>
      <c r="AA82" s="45" t="n"/>
      <c r="AB82" s="45" t="n"/>
      <c r="AC82" s="45" t="n"/>
      <c r="AD82" s="45" t="n"/>
      <c r="AE82" s="45" t="n"/>
      <c r="AF82" s="45" t="n"/>
      <c r="AG82" s="42" t="inlineStr">
        <is>
          <t>—</t>
        </is>
      </c>
      <c r="AH82" s="42">
        <f>COUNTIF(G82:AF82,"X")</f>
        <v/>
      </c>
      <c r="AI82" s="42" t="inlineStr">
        <is>
          <t>—</t>
        </is>
      </c>
    </row>
    <row r="83">
      <c r="A83" s="37" t="inlineStr">
        <is>
          <t>Administracion General (AB)</t>
        </is>
      </c>
      <c r="B83" s="38" t="n"/>
      <c r="C83" s="38" t="n"/>
      <c r="D83" s="38" t="n"/>
      <c r="E83" s="38" t="n"/>
      <c r="F83" s="38" t="n"/>
      <c r="G83" s="38" t="n"/>
      <c r="H83" s="38" t="n"/>
      <c r="I83" s="38" t="n"/>
      <c r="J83" s="38" t="n"/>
      <c r="K83" s="38" t="n"/>
      <c r="L83" s="38" t="n"/>
      <c r="M83" s="38" t="n"/>
      <c r="N83" s="38" t="n"/>
      <c r="O83" s="38" t="n"/>
      <c r="P83" s="38" t="n"/>
      <c r="Q83" s="38" t="n"/>
      <c r="R83" s="38" t="n"/>
      <c r="S83" s="38" t="n"/>
      <c r="T83" s="38" t="n"/>
      <c r="U83" s="38" t="n"/>
      <c r="V83" s="38" t="n"/>
      <c r="W83" s="38" t="n"/>
      <c r="X83" s="38" t="n"/>
      <c r="Y83" s="38" t="n"/>
      <c r="Z83" s="38" t="n"/>
      <c r="AA83" s="38" t="n"/>
      <c r="AB83" s="38" t="n"/>
      <c r="AC83" s="38" t="n"/>
      <c r="AD83" s="38" t="n"/>
      <c r="AE83" s="38" t="n"/>
      <c r="AF83" s="38" t="n"/>
      <c r="AG83" s="38" t="n"/>
      <c r="AH83" s="38" t="n"/>
      <c r="AI83" s="38" t="n"/>
    </row>
    <row r="84">
      <c r="A84" s="39" t="inlineStr">
        <is>
          <t>Administracion General (AB)</t>
        </is>
      </c>
      <c r="B84" s="40" t="inlineStr">
        <is>
          <t>N/A</t>
        </is>
      </c>
      <c r="C84" s="41" t="inlineStr">
        <is>
          <t>Actualizacion de Datacenter / servidores</t>
        </is>
      </c>
      <c r="D84" s="42" t="inlineStr">
        <is>
          <t>Mensual</t>
        </is>
      </c>
      <c r="E84" s="42" t="inlineStr">
        <is>
          <t>A confirmar</t>
        </is>
      </c>
      <c r="F84" s="43" t="inlineStr">
        <is>
          <t>Fija</t>
        </is>
      </c>
      <c r="G84" s="45" t="n"/>
      <c r="H84" s="44" t="n"/>
      <c r="I84" s="44" t="n"/>
      <c r="J84" s="44" t="n"/>
      <c r="K84" s="44" t="n"/>
      <c r="L84" s="44" t="n"/>
      <c r="M84" s="44" t="n"/>
      <c r="N84" s="44" t="n"/>
      <c r="O84" s="44" t="n"/>
      <c r="P84" s="44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  <c r="AC84" s="44" t="n"/>
      <c r="AD84" s="44" t="n"/>
      <c r="AE84" s="44" t="n"/>
      <c r="AF84" s="44" t="n"/>
      <c r="AG84" s="42" t="inlineStr">
        <is>
          <t>—</t>
        </is>
      </c>
      <c r="AH84" s="42">
        <f>COUNTIF(G84:AF84,"X")</f>
        <v/>
      </c>
      <c r="AI84" s="42" t="inlineStr">
        <is>
          <t>—</t>
        </is>
      </c>
    </row>
    <row r="85">
      <c r="A85" s="37" t="inlineStr">
        <is>
          <t>Proceso de Cargas (nombre tentativo)</t>
        </is>
      </c>
      <c r="B85" s="38" t="n"/>
      <c r="C85" s="38" t="n"/>
      <c r="D85" s="38" t="n"/>
      <c r="E85" s="38" t="n"/>
      <c r="F85" s="38" t="n"/>
      <c r="G85" s="38" t="n"/>
      <c r="H85" s="38" t="n"/>
      <c r="I85" s="38" t="n"/>
      <c r="J85" s="38" t="n"/>
      <c r="K85" s="38" t="n"/>
      <c r="L85" s="38" t="n"/>
      <c r="M85" s="38" t="n"/>
      <c r="N85" s="38" t="n"/>
      <c r="O85" s="38" t="n"/>
      <c r="P85" s="38" t="n"/>
      <c r="Q85" s="38" t="n"/>
      <c r="R85" s="38" t="n"/>
      <c r="S85" s="38" t="n"/>
      <c r="T85" s="38" t="n"/>
      <c r="U85" s="38" t="n"/>
      <c r="V85" s="38" t="n"/>
      <c r="W85" s="38" t="n"/>
      <c r="X85" s="38" t="n"/>
      <c r="Y85" s="38" t="n"/>
      <c r="Z85" s="38" t="n"/>
      <c r="AA85" s="38" t="n"/>
      <c r="AB85" s="38" t="n"/>
      <c r="AC85" s="38" t="n"/>
      <c r="AD85" s="38" t="n"/>
      <c r="AE85" s="38" t="n"/>
      <c r="AF85" s="38" t="n"/>
      <c r="AG85" s="38" t="n"/>
      <c r="AH85" s="38" t="n"/>
      <c r="AI85" s="38" t="n"/>
    </row>
    <row r="86">
      <c r="A86" s="39" t="inlineStr">
        <is>
          <t>Proceso de Cargas (nombre tentativo)</t>
        </is>
      </c>
      <c r="B86" s="40" t="inlineStr">
        <is>
          <t>Planificacion y Carga de la Hoja de Procesos Diarios</t>
        </is>
      </c>
      <c r="C86" s="41" t="inlineStr">
        <is>
          <t>Rehacer hoja de Procesos Diarios</t>
        </is>
      </c>
      <c r="D86" s="42" t="inlineStr">
        <is>
          <t>Mensual</t>
        </is>
      </c>
      <c r="E86" s="42" t="n">
        <v>60</v>
      </c>
      <c r="F86" s="43" t="inlineStr">
        <is>
          <t>Fija</t>
        </is>
      </c>
      <c r="G86" s="44" t="n"/>
      <c r="H86" s="44" t="n"/>
      <c r="I86" s="44" t="n"/>
      <c r="J86" s="44" t="n"/>
      <c r="K86" s="44" t="n"/>
      <c r="L86" s="44" t="n"/>
      <c r="M86" s="44" t="n"/>
      <c r="N86" s="44" t="n"/>
      <c r="O86" s="44" t="n"/>
      <c r="P86" s="44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  <c r="AC86" s="44" t="n"/>
      <c r="AD86" s="44" t="n"/>
      <c r="AE86" s="44" t="n"/>
      <c r="AF86" s="45" t="n"/>
      <c r="AG86" s="42" t="n">
        <v>1</v>
      </c>
      <c r="AH86" s="42">
        <f>COUNTIF(G86:AF86,"X")*60.0/60</f>
        <v/>
      </c>
      <c r="AI86" s="42">
        <f>AH86-AG86</f>
        <v/>
      </c>
    </row>
    <row r="87">
      <c r="A87" s="39" t="inlineStr">
        <is>
          <t>Proceso de Cargas (nombre tentativo)</t>
        </is>
      </c>
      <c r="B87" s="40" t="inlineStr">
        <is>
          <t>Planificacion y Carga de la Hoja de Procesos Diarios</t>
        </is>
      </c>
      <c r="C87" s="41" t="inlineStr">
        <is>
          <t>Rehacer hoja de Procesos Diarios</t>
        </is>
      </c>
      <c r="D87" s="42" t="inlineStr">
        <is>
          <t>Mensual</t>
        </is>
      </c>
      <c r="E87" s="42" t="inlineStr">
        <is>
          <t>A confirmar</t>
        </is>
      </c>
      <c r="F87" s="43" t="inlineStr">
        <is>
          <t>Fija</t>
        </is>
      </c>
      <c r="G87" s="45" t="n"/>
      <c r="H87" s="44" t="n"/>
      <c r="I87" s="44" t="n"/>
      <c r="J87" s="44" t="n"/>
      <c r="K87" s="44" t="n"/>
      <c r="L87" s="44" t="n"/>
      <c r="M87" s="44" t="n"/>
      <c r="N87" s="44" t="n"/>
      <c r="O87" s="44" t="n"/>
      <c r="P87" s="44" t="n"/>
      <c r="Q87" s="44" t="n"/>
      <c r="R87" s="44" t="n"/>
      <c r="S87" s="44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B87" s="44" t="n"/>
      <c r="AC87" s="44" t="n"/>
      <c r="AD87" s="44" t="n"/>
      <c r="AE87" s="44" t="n"/>
      <c r="AF87" s="44" t="n"/>
      <c r="AG87" s="42" t="inlineStr">
        <is>
          <t>—</t>
        </is>
      </c>
      <c r="AH87" s="42">
        <f>COUNTIF(G87:AF87,"X")</f>
        <v/>
      </c>
      <c r="AI87" s="42" t="inlineStr">
        <is>
          <t>—</t>
        </is>
      </c>
    </row>
    <row r="88">
      <c r="A88" s="39" t="inlineStr">
        <is>
          <t>Proceso de Cargas (nombre tentativo)</t>
        </is>
      </c>
      <c r="B88" s="40" t="inlineStr">
        <is>
          <t>Planificacion y Carga de la Hoja de Procesos Diarios</t>
        </is>
      </c>
      <c r="C88" s="41" t="inlineStr">
        <is>
          <t>Completar carga de Procesos Diarios</t>
        </is>
      </c>
      <c r="D88" s="42" t="inlineStr">
        <is>
          <t>Diario</t>
        </is>
      </c>
      <c r="E88" s="42" t="n">
        <v>20</v>
      </c>
      <c r="F88" s="43" t="inlineStr">
        <is>
          <t>Fija</t>
        </is>
      </c>
      <c r="G88" s="45" t="n"/>
      <c r="H88" s="45" t="n"/>
      <c r="I88" s="45" t="n"/>
      <c r="J88" s="45" t="n"/>
      <c r="K88" s="45" t="n"/>
      <c r="L88" s="45" t="n"/>
      <c r="M88" s="45" t="n"/>
      <c r="N88" s="45" t="n"/>
      <c r="O88" s="45" t="n"/>
      <c r="P88" s="45" t="n"/>
      <c r="Q88" s="45" t="n"/>
      <c r="R88" s="45" t="n"/>
      <c r="S88" s="45" t="n"/>
      <c r="T88" s="45" t="n"/>
      <c r="U88" s="45" t="n"/>
      <c r="V88" s="45" t="n"/>
      <c r="W88" s="45" t="n"/>
      <c r="X88" s="45" t="n"/>
      <c r="Y88" s="45" t="n"/>
      <c r="Z88" s="45" t="n"/>
      <c r="AA88" s="45" t="n"/>
      <c r="AB88" s="45" t="n"/>
      <c r="AC88" s="45" t="n"/>
      <c r="AD88" s="45" t="n"/>
      <c r="AE88" s="45" t="n"/>
      <c r="AF88" s="45" t="n"/>
      <c r="AG88" s="42" t="n">
        <v>8.67</v>
      </c>
      <c r="AH88" s="42">
        <f>COUNTIF(G88:AF88,"X")*20.0/60</f>
        <v/>
      </c>
      <c r="AI88" s="42">
        <f>AH88-AG88</f>
        <v/>
      </c>
    </row>
    <row r="89">
      <c r="A89" s="39" t="inlineStr">
        <is>
          <t>Proceso de Cargas (nombre tentativo)</t>
        </is>
      </c>
      <c r="B89" s="40" t="inlineStr">
        <is>
          <t>Planificacion y Carga de la Hoja de Procesos Diarios</t>
        </is>
      </c>
      <c r="C89" s="41" t="inlineStr">
        <is>
          <t>Completar carga de Procesos Diarios</t>
        </is>
      </c>
      <c r="D89" s="42" t="inlineStr">
        <is>
          <t>Diario</t>
        </is>
      </c>
      <c r="E89" s="42" t="n">
        <v>5</v>
      </c>
      <c r="F89" s="43" t="inlineStr">
        <is>
          <t>Fija</t>
        </is>
      </c>
      <c r="G89" s="45" t="n"/>
      <c r="H89" s="45" t="n"/>
      <c r="I89" s="45" t="n"/>
      <c r="J89" s="45" t="n"/>
      <c r="K89" s="45" t="n"/>
      <c r="L89" s="45" t="n"/>
      <c r="M89" s="45" t="n"/>
      <c r="N89" s="45" t="n"/>
      <c r="O89" s="45" t="n"/>
      <c r="P89" s="45" t="n"/>
      <c r="Q89" s="45" t="n"/>
      <c r="R89" s="45" t="n"/>
      <c r="S89" s="45" t="n"/>
      <c r="T89" s="45" t="n"/>
      <c r="U89" s="45" t="n"/>
      <c r="V89" s="45" t="n"/>
      <c r="W89" s="45" t="n"/>
      <c r="X89" s="45" t="n"/>
      <c r="Y89" s="45" t="n"/>
      <c r="Z89" s="45" t="n"/>
      <c r="AA89" s="45" t="n"/>
      <c r="AB89" s="45" t="n"/>
      <c r="AC89" s="45" t="n"/>
      <c r="AD89" s="45" t="n"/>
      <c r="AE89" s="45" t="n"/>
      <c r="AF89" s="45" t="n"/>
      <c r="AG89" s="42" t="n">
        <v>2.17</v>
      </c>
      <c r="AH89" s="42">
        <f>COUNTIF(G89:AF89,"X")*5.0/60</f>
        <v/>
      </c>
      <c r="AI89" s="42">
        <f>AH89-AG89</f>
        <v/>
      </c>
    </row>
    <row r="90">
      <c r="A90" s="37" t="inlineStr">
        <is>
          <t>Sin Proceso Asignado (a un costado)</t>
        </is>
      </c>
      <c r="B90" s="38" t="n"/>
      <c r="C90" s="38" t="n"/>
      <c r="D90" s="38" t="n"/>
      <c r="E90" s="38" t="n"/>
      <c r="F90" s="38" t="n"/>
      <c r="G90" s="38" t="n"/>
      <c r="H90" s="38" t="n"/>
      <c r="I90" s="38" t="n"/>
      <c r="J90" s="38" t="n"/>
      <c r="K90" s="38" t="n"/>
      <c r="L90" s="38" t="n"/>
      <c r="M90" s="38" t="n"/>
      <c r="N90" s="38" t="n"/>
      <c r="O90" s="38" t="n"/>
      <c r="P90" s="38" t="n"/>
      <c r="Q90" s="38" t="n"/>
      <c r="R90" s="38" t="n"/>
      <c r="S90" s="38" t="n"/>
      <c r="T90" s="38" t="n"/>
      <c r="U90" s="38" t="n"/>
      <c r="V90" s="38" t="n"/>
      <c r="W90" s="38" t="n"/>
      <c r="X90" s="38" t="n"/>
      <c r="Y90" s="38" t="n"/>
      <c r="Z90" s="38" t="n"/>
      <c r="AA90" s="38" t="n"/>
      <c r="AB90" s="38" t="n"/>
      <c r="AC90" s="38" t="n"/>
      <c r="AD90" s="38" t="n"/>
      <c r="AE90" s="38" t="n"/>
      <c r="AF90" s="38" t="n"/>
      <c r="AG90" s="38" t="n"/>
      <c r="AH90" s="38" t="n"/>
      <c r="AI90" s="38" t="n"/>
    </row>
    <row r="91">
      <c r="A91" s="39" t="inlineStr">
        <is>
          <t>Sin Proceso Asignado (a un costado)</t>
        </is>
      </c>
      <c r="B91" s="40" t="inlineStr">
        <is>
          <t>N/A</t>
        </is>
      </c>
      <c r="C91" s="41" t="inlineStr">
        <is>
          <t>Subir publicidad en WhatsApp</t>
        </is>
      </c>
      <c r="D91" s="42" t="inlineStr">
        <is>
          <t>Diario</t>
        </is>
      </c>
      <c r="E91" s="42" t="n">
        <v>5</v>
      </c>
      <c r="F91" s="43" t="inlineStr">
        <is>
          <t>Fija</t>
        </is>
      </c>
      <c r="G91" s="45" t="n"/>
      <c r="H91" s="45" t="n"/>
      <c r="I91" s="45" t="n"/>
      <c r="J91" s="45" t="n"/>
      <c r="K91" s="45" t="n"/>
      <c r="L91" s="45" t="n"/>
      <c r="M91" s="45" t="n"/>
      <c r="N91" s="45" t="n"/>
      <c r="O91" s="45" t="n"/>
      <c r="P91" s="45" t="n"/>
      <c r="Q91" s="45" t="n"/>
      <c r="R91" s="45" t="n"/>
      <c r="S91" s="45" t="n"/>
      <c r="T91" s="45" t="n"/>
      <c r="U91" s="45" t="n"/>
      <c r="V91" s="45" t="n"/>
      <c r="W91" s="45" t="n"/>
      <c r="X91" s="45" t="n"/>
      <c r="Y91" s="45" t="n"/>
      <c r="Z91" s="45" t="n"/>
      <c r="AA91" s="45" t="n"/>
      <c r="AB91" s="45" t="n"/>
      <c r="AC91" s="45" t="n"/>
      <c r="AD91" s="45" t="n"/>
      <c r="AE91" s="45" t="n"/>
      <c r="AF91" s="45" t="n"/>
      <c r="AG91" s="42" t="n">
        <v>2.17</v>
      </c>
      <c r="AH91" s="42">
        <f>COUNTIF(G91:AF91,"X")*5.0/60</f>
        <v/>
      </c>
      <c r="AI91" s="42">
        <f>AH91-AG91</f>
        <v/>
      </c>
    </row>
    <row r="92">
      <c r="A92" s="39" t="inlineStr">
        <is>
          <t>Sin Proceso Asignado (a un costado)</t>
        </is>
      </c>
      <c r="B92" s="40" t="inlineStr">
        <is>
          <t>N/A</t>
        </is>
      </c>
      <c r="C92" s="41" t="inlineStr">
        <is>
          <t>Subir publicidad en WhatsApp</t>
        </is>
      </c>
      <c r="D92" s="42" t="inlineStr">
        <is>
          <t>Diario</t>
        </is>
      </c>
      <c r="E92" s="42" t="n">
        <v>5</v>
      </c>
      <c r="F92" s="43" t="inlineStr">
        <is>
          <t>Fija</t>
        </is>
      </c>
      <c r="G92" s="45" t="n"/>
      <c r="H92" s="45" t="n"/>
      <c r="I92" s="45" t="n"/>
      <c r="J92" s="45" t="n"/>
      <c r="K92" s="45" t="n"/>
      <c r="L92" s="45" t="n"/>
      <c r="M92" s="45" t="n"/>
      <c r="N92" s="45" t="n"/>
      <c r="O92" s="45" t="n"/>
      <c r="P92" s="45" t="n"/>
      <c r="Q92" s="45" t="n"/>
      <c r="R92" s="45" t="n"/>
      <c r="S92" s="45" t="n"/>
      <c r="T92" s="45" t="n"/>
      <c r="U92" s="45" t="n"/>
      <c r="V92" s="45" t="n"/>
      <c r="W92" s="45" t="n"/>
      <c r="X92" s="45" t="n"/>
      <c r="Y92" s="45" t="n"/>
      <c r="Z92" s="45" t="n"/>
      <c r="AA92" s="45" t="n"/>
      <c r="AB92" s="45" t="n"/>
      <c r="AC92" s="45" t="n"/>
      <c r="AD92" s="45" t="n"/>
      <c r="AE92" s="45" t="n"/>
      <c r="AF92" s="45" t="n"/>
      <c r="AG92" s="42" t="n">
        <v>2.17</v>
      </c>
      <c r="AH92" s="42">
        <f>COUNTIF(G92:AF92,"X")*5.0/60</f>
        <v/>
      </c>
      <c r="AI92" s="42">
        <f>AH92-AG92</f>
        <v/>
      </c>
    </row>
    <row r="93">
      <c r="A93" s="39" t="inlineStr">
        <is>
          <t>Sin Proceso Asignado (a un costado)</t>
        </is>
      </c>
      <c r="B93" s="40" t="inlineStr">
        <is>
          <t>N/A</t>
        </is>
      </c>
      <c r="C93" s="41" t="inlineStr">
        <is>
          <t>Ordenar escritorio</t>
        </is>
      </c>
      <c r="D93" s="42" t="inlineStr">
        <is>
          <t>Diario</t>
        </is>
      </c>
      <c r="E93" s="42" t="n">
        <v>10</v>
      </c>
      <c r="F93" s="43" t="inlineStr">
        <is>
          <t>Fija</t>
        </is>
      </c>
      <c r="G93" s="45" t="n"/>
      <c r="H93" s="45" t="n"/>
      <c r="I93" s="45" t="n"/>
      <c r="J93" s="45" t="n"/>
      <c r="K93" s="45" t="n"/>
      <c r="L93" s="45" t="n"/>
      <c r="M93" s="45" t="n"/>
      <c r="N93" s="45" t="n"/>
      <c r="O93" s="45" t="n"/>
      <c r="P93" s="45" t="n"/>
      <c r="Q93" s="45" t="n"/>
      <c r="R93" s="45" t="n"/>
      <c r="S93" s="45" t="n"/>
      <c r="T93" s="45" t="n"/>
      <c r="U93" s="45" t="n"/>
      <c r="V93" s="45" t="n"/>
      <c r="W93" s="45" t="n"/>
      <c r="X93" s="45" t="n"/>
      <c r="Y93" s="45" t="n"/>
      <c r="Z93" s="45" t="n"/>
      <c r="AA93" s="45" t="n"/>
      <c r="AB93" s="45" t="n"/>
      <c r="AC93" s="45" t="n"/>
      <c r="AD93" s="45" t="n"/>
      <c r="AE93" s="45" t="n"/>
      <c r="AF93" s="45" t="n"/>
      <c r="AG93" s="42" t="n">
        <v>4.33</v>
      </c>
      <c r="AH93" s="42">
        <f>COUNTIF(G93:AF93,"X")*10.0/60</f>
        <v/>
      </c>
      <c r="AI93" s="42">
        <f>AH93-AG93</f>
        <v/>
      </c>
    </row>
    <row r="94">
      <c r="A94" s="39" t="inlineStr">
        <is>
          <t>Sin Proceso Asignado (a un costado)</t>
        </is>
      </c>
      <c r="B94" s="40" t="inlineStr">
        <is>
          <t>N/A</t>
        </is>
      </c>
      <c r="C94" s="41" t="inlineStr">
        <is>
          <t>Ordenar escritorio</t>
        </is>
      </c>
      <c r="D94" s="42" t="inlineStr">
        <is>
          <t>Diario</t>
        </is>
      </c>
      <c r="E94" s="42" t="n">
        <v>10</v>
      </c>
      <c r="F94" s="43" t="inlineStr">
        <is>
          <t>Fija</t>
        </is>
      </c>
      <c r="G94" s="45" t="n"/>
      <c r="H94" s="45" t="n"/>
      <c r="I94" s="45" t="n"/>
      <c r="J94" s="45" t="n"/>
      <c r="K94" s="45" t="n"/>
      <c r="L94" s="45" t="n"/>
      <c r="M94" s="45" t="n"/>
      <c r="N94" s="45" t="n"/>
      <c r="O94" s="45" t="n"/>
      <c r="P94" s="45" t="n"/>
      <c r="Q94" s="45" t="n"/>
      <c r="R94" s="45" t="n"/>
      <c r="S94" s="45" t="n"/>
      <c r="T94" s="45" t="n"/>
      <c r="U94" s="45" t="n"/>
      <c r="V94" s="45" t="n"/>
      <c r="W94" s="45" t="n"/>
      <c r="X94" s="45" t="n"/>
      <c r="Y94" s="45" t="n"/>
      <c r="Z94" s="45" t="n"/>
      <c r="AA94" s="45" t="n"/>
      <c r="AB94" s="45" t="n"/>
      <c r="AC94" s="45" t="n"/>
      <c r="AD94" s="45" t="n"/>
      <c r="AE94" s="45" t="n"/>
      <c r="AF94" s="45" t="n"/>
      <c r="AG94" s="42" t="n">
        <v>4.33</v>
      </c>
      <c r="AH94" s="42">
        <f>COUNTIF(G94:AF94,"X")*10.0/60</f>
        <v/>
      </c>
      <c r="AI94" s="42">
        <f>AH94-AG94</f>
        <v/>
      </c>
    </row>
    <row r="95">
      <c r="A95" s="39" t="inlineStr">
        <is>
          <t>Sin Proceso Asignado (a un costado)</t>
        </is>
      </c>
      <c r="B95" s="40" t="inlineStr">
        <is>
          <t>N/A</t>
        </is>
      </c>
      <c r="C95" s="41" t="inlineStr">
        <is>
          <t>Preparacion de equipos de instalacion (ST)</t>
        </is>
      </c>
      <c r="D95" s="42" t="inlineStr">
        <is>
          <t>A Demanda</t>
        </is>
      </c>
      <c r="E95" s="42" t="n">
        <v>30</v>
      </c>
      <c r="F95" s="43" t="inlineStr">
        <is>
          <t>Cualquier día (reactiva)</t>
        </is>
      </c>
      <c r="G95" s="46" t="n"/>
      <c r="H95" s="46" t="n"/>
      <c r="I95" s="46" t="n"/>
      <c r="J95" s="46" t="n"/>
      <c r="K95" s="46" t="n"/>
      <c r="L95" s="46" t="n"/>
      <c r="M95" s="46" t="n"/>
      <c r="N95" s="46" t="n"/>
      <c r="O95" s="46" t="n"/>
      <c r="P95" s="46" t="n"/>
      <c r="Q95" s="46" t="n"/>
      <c r="R95" s="46" t="n"/>
      <c r="S95" s="46" t="n"/>
      <c r="T95" s="46" t="n"/>
      <c r="U95" s="46" t="n"/>
      <c r="V95" s="46" t="n"/>
      <c r="W95" s="46" t="n"/>
      <c r="X95" s="46" t="n"/>
      <c r="Y95" s="46" t="n"/>
      <c r="Z95" s="46" t="n"/>
      <c r="AA95" s="46" t="n"/>
      <c r="AB95" s="46" t="n"/>
      <c r="AC95" s="46" t="n"/>
      <c r="AD95" s="46" t="n"/>
      <c r="AE95" s="46" t="n"/>
      <c r="AF95" s="46" t="n"/>
      <c r="AG95" s="42" t="inlineStr">
        <is>
          <t>—</t>
        </is>
      </c>
      <c r="AH95" s="42">
        <f>COUNTIF(G95:AF95,"X")*30.0/60</f>
        <v/>
      </c>
      <c r="AI95" s="42" t="inlineStr">
        <is>
          <t>—</t>
        </is>
      </c>
    </row>
    <row r="96">
      <c r="A96" s="37" t="inlineStr">
        <is>
          <t>Stock (Viernes)</t>
        </is>
      </c>
      <c r="B96" s="38" t="n"/>
      <c r="C96" s="38" t="n"/>
      <c r="D96" s="38" t="n"/>
      <c r="E96" s="38" t="n"/>
      <c r="F96" s="38" t="n"/>
      <c r="G96" s="38" t="n"/>
      <c r="H96" s="38" t="n"/>
      <c r="I96" s="38" t="n"/>
      <c r="J96" s="38" t="n"/>
      <c r="K96" s="38" t="n"/>
      <c r="L96" s="38" t="n"/>
      <c r="M96" s="38" t="n"/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38" t="n"/>
      <c r="Y96" s="38" t="n"/>
      <c r="Z96" s="38" t="n"/>
      <c r="AA96" s="38" t="n"/>
      <c r="AB96" s="38" t="n"/>
      <c r="AC96" s="38" t="n"/>
      <c r="AD96" s="38" t="n"/>
      <c r="AE96" s="38" t="n"/>
      <c r="AF96" s="38" t="n"/>
      <c r="AG96" s="38" t="n"/>
      <c r="AH96" s="38" t="n"/>
      <c r="AI96" s="38" t="n"/>
    </row>
    <row r="97">
      <c r="A97" s="39" t="inlineStr">
        <is>
          <t>Stock</t>
        </is>
      </c>
      <c r="B97" s="40" t="inlineStr">
        <is>
          <t>Impresion de Documentacion</t>
        </is>
      </c>
      <c r="C97" s="41" t="inlineStr">
        <is>
          <t>Impresion de Ordenes de Servicio</t>
        </is>
      </c>
      <c r="D97" s="42" t="inlineStr">
        <is>
          <t>Mensual</t>
        </is>
      </c>
      <c r="E97" s="42" t="n">
        <v>45</v>
      </c>
      <c r="F97" s="43" t="inlineStr">
        <is>
          <t>Fija</t>
        </is>
      </c>
      <c r="G97" s="44" t="n"/>
      <c r="H97" s="44" t="n"/>
      <c r="I97" s="44" t="n"/>
      <c r="J97" s="44" t="n"/>
      <c r="K97" s="44" t="n"/>
      <c r="L97" s="44" t="n"/>
      <c r="M97" s="44" t="n"/>
      <c r="N97" s="44" t="n"/>
      <c r="O97" s="44" t="n"/>
      <c r="P97" s="44" t="n"/>
      <c r="Q97" s="45" t="n"/>
      <c r="R97" s="44" t="n"/>
      <c r="S97" s="44" t="n"/>
      <c r="T97" s="44" t="n"/>
      <c r="U97" s="44" t="n"/>
      <c r="V97" s="44" t="n"/>
      <c r="W97" s="44" t="n"/>
      <c r="X97" s="44" t="n"/>
      <c r="Y97" s="44" t="n"/>
      <c r="Z97" s="44" t="n"/>
      <c r="AA97" s="44" t="n"/>
      <c r="AB97" s="44" t="n"/>
      <c r="AC97" s="44" t="n"/>
      <c r="AD97" s="44" t="n"/>
      <c r="AE97" s="44" t="n"/>
      <c r="AF97" s="44" t="n"/>
      <c r="AG97" s="42" t="n">
        <v>0.75</v>
      </c>
      <c r="AH97" s="42">
        <f>COUNTIF(G97:AF97,"X")*45.0/60</f>
        <v/>
      </c>
      <c r="AI97" s="42">
        <f>AH97-AG97</f>
        <v/>
      </c>
    </row>
    <row r="99">
      <c r="A99" s="47" t="inlineStr">
        <is>
          <t>Carga estimada vs. capacidad disponible por día</t>
        </is>
      </c>
    </row>
    <row r="100">
      <c r="A100" s="48" t="inlineStr">
        <is>
          <t>Minutos asignados ese día (tareas de frecuencia fija)</t>
        </is>
      </c>
      <c r="G100" s="49" t="n">
        <v>202</v>
      </c>
      <c r="H100" s="49" t="n">
        <v>637</v>
      </c>
      <c r="I100" s="49" t="n">
        <v>597</v>
      </c>
      <c r="J100" s="49" t="n">
        <v>987</v>
      </c>
      <c r="K100" s="49" t="n">
        <v>327</v>
      </c>
      <c r="L100" s="49" t="n">
        <v>197</v>
      </c>
      <c r="M100" s="49" t="n">
        <v>182</v>
      </c>
      <c r="N100" s="49" t="n">
        <v>637</v>
      </c>
      <c r="O100" s="49" t="n">
        <v>597</v>
      </c>
      <c r="P100" s="49" t="n">
        <v>987</v>
      </c>
      <c r="Q100" s="49" t="n">
        <v>522</v>
      </c>
      <c r="R100" s="49" t="n">
        <v>197</v>
      </c>
      <c r="S100" s="49" t="n">
        <v>182</v>
      </c>
      <c r="T100" s="49" t="n">
        <v>727</v>
      </c>
      <c r="U100" s="49" t="n">
        <v>597</v>
      </c>
      <c r="V100" s="49" t="n">
        <v>987</v>
      </c>
      <c r="W100" s="49" t="n">
        <v>327</v>
      </c>
      <c r="X100" s="49" t="n">
        <v>197</v>
      </c>
      <c r="Y100" s="49" t="n">
        <v>182</v>
      </c>
      <c r="Z100" s="49" t="n">
        <v>637</v>
      </c>
      <c r="AA100" s="49" t="n">
        <v>597</v>
      </c>
      <c r="AB100" s="49" t="n">
        <v>987</v>
      </c>
      <c r="AC100" s="49" t="n">
        <v>327</v>
      </c>
      <c r="AD100" s="49" t="n">
        <v>197</v>
      </c>
      <c r="AE100" s="49" t="n">
        <v>182</v>
      </c>
      <c r="AF100" s="49" t="n">
        <v>697</v>
      </c>
    </row>
    <row r="101">
      <c r="A101" s="48" t="inlineStr">
        <is>
          <t>Capacidad disponible ese día (min)</t>
        </is>
      </c>
      <c r="G101" s="49" t="n">
        <v>240</v>
      </c>
      <c r="H101" s="49" t="n">
        <v>480</v>
      </c>
      <c r="I101" s="49" t="n">
        <v>480</v>
      </c>
      <c r="J101" s="49" t="n">
        <v>480</v>
      </c>
      <c r="K101" s="49" t="n">
        <v>480</v>
      </c>
      <c r="L101" s="49" t="n">
        <v>480</v>
      </c>
      <c r="M101" s="49" t="n">
        <v>240</v>
      </c>
      <c r="N101" s="49" t="n">
        <v>480</v>
      </c>
      <c r="O101" s="49" t="n">
        <v>480</v>
      </c>
      <c r="P101" s="49" t="n">
        <v>480</v>
      </c>
      <c r="Q101" s="49" t="n">
        <v>480</v>
      </c>
      <c r="R101" s="49" t="n">
        <v>480</v>
      </c>
      <c r="S101" s="49" t="n">
        <v>240</v>
      </c>
      <c r="T101" s="49" t="n">
        <v>480</v>
      </c>
      <c r="U101" s="49" t="n">
        <v>480</v>
      </c>
      <c r="V101" s="49" t="n">
        <v>480</v>
      </c>
      <c r="W101" s="49" t="n">
        <v>480</v>
      </c>
      <c r="X101" s="49" t="n">
        <v>480</v>
      </c>
      <c r="Y101" s="49" t="n">
        <v>240</v>
      </c>
      <c r="Z101" s="49" t="n">
        <v>480</v>
      </c>
      <c r="AA101" s="49" t="n">
        <v>480</v>
      </c>
      <c r="AB101" s="49" t="n">
        <v>480</v>
      </c>
      <c r="AC101" s="49" t="n">
        <v>480</v>
      </c>
      <c r="AD101" s="49" t="n">
        <v>480</v>
      </c>
      <c r="AE101" s="49" t="n">
        <v>240</v>
      </c>
      <c r="AF101" s="49" t="n">
        <v>480</v>
      </c>
    </row>
    <row r="102">
      <c r="A102" s="50" t="inlineStr">
        <is>
          <t>Saldo (min) — negativo = sobrecarga ese día</t>
        </is>
      </c>
      <c r="G102" s="51">
        <f>G101-G100</f>
        <v/>
      </c>
      <c r="H102" s="51">
        <f>H101-H100</f>
        <v/>
      </c>
      <c r="I102" s="51">
        <f>I101-I100</f>
        <v/>
      </c>
      <c r="J102" s="51">
        <f>J101-J100</f>
        <v/>
      </c>
      <c r="K102" s="51">
        <f>K101-K100</f>
        <v/>
      </c>
      <c r="L102" s="51">
        <f>L101-L100</f>
        <v/>
      </c>
      <c r="M102" s="51">
        <f>M101-M100</f>
        <v/>
      </c>
      <c r="N102" s="51">
        <f>N101-N100</f>
        <v/>
      </c>
      <c r="O102" s="51">
        <f>O101-O100</f>
        <v/>
      </c>
      <c r="P102" s="51">
        <f>P101-P100</f>
        <v/>
      </c>
      <c r="Q102" s="51">
        <f>Q101-Q100</f>
        <v/>
      </c>
      <c r="R102" s="51">
        <f>R101-R100</f>
        <v/>
      </c>
      <c r="S102" s="51">
        <f>S101-S100</f>
        <v/>
      </c>
      <c r="T102" s="51">
        <f>T101-T100</f>
        <v/>
      </c>
      <c r="U102" s="51">
        <f>U101-U100</f>
        <v/>
      </c>
      <c r="V102" s="51">
        <f>V101-V100</f>
        <v/>
      </c>
      <c r="W102" s="51">
        <f>W101-W100</f>
        <v/>
      </c>
      <c r="X102" s="51">
        <f>X101-X100</f>
        <v/>
      </c>
      <c r="Y102" s="51">
        <f>Y101-Y100</f>
        <v/>
      </c>
      <c r="Z102" s="51">
        <f>Z101-Z100</f>
        <v/>
      </c>
      <c r="AA102" s="51">
        <f>AA101-AA100</f>
        <v/>
      </c>
      <c r="AB102" s="51">
        <f>AB101-AB100</f>
        <v/>
      </c>
      <c r="AC102" s="51">
        <f>AC101-AC100</f>
        <v/>
      </c>
      <c r="AD102" s="51">
        <f>AD101-AD100</f>
        <v/>
      </c>
      <c r="AE102" s="51">
        <f>AE101-AE100</f>
        <v/>
      </c>
      <c r="AF102" s="51">
        <f>AF101-AF100</f>
        <v/>
      </c>
    </row>
  </sheetData>
  <conditionalFormatting sqref="G102:AF102">
    <cfRule type="expression" priority="1" dxfId="0">
      <formula>G102&lt;0</formula>
    </cfRule>
    <cfRule type="expression" priority="2" dxfId="1">
      <formula>G102&gt;=0</formula>
    </cfRule>
  </conditionalFormatting>
  <conditionalFormatting sqref="G2:AF97">
    <cfRule type="expression" priority="3" dxfId="2">
      <formula>G2="X"</formula>
    </cfRule>
    <cfRule type="expression" priority="4" dxfId="3">
      <formula>G2="-"</formula>
    </cfRule>
  </conditionalFormatting>
  <dataValidations count="1">
    <dataValidation sqref="G2:AF97" showDropDown="0" showInputMessage="0" showErrorMessage="0" allowBlank="1" type="list">
      <formula1>"X,-"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40" customWidth="1" min="3" max="3"/>
    <col width="30" customWidth="1" min="4" max="4"/>
    <col width="20" customWidth="1" min="5" max="5"/>
    <col width="16" customWidth="1" min="6" max="6"/>
    <col width="14" customWidth="1" min="7" max="7"/>
    <col width="12" customWidth="1" min="8" max="8"/>
    <col width="12" customWidth="1" min="9" max="9"/>
    <col width="14" customWidth="1" min="10" max="10"/>
    <col width="28" customWidth="1" min="11" max="11"/>
    <col width="10" customWidth="1" min="12" max="12"/>
    <col width="45" customWidth="1" min="13" max="13"/>
  </cols>
  <sheetData>
    <row r="1" ht="34" customHeight="1">
      <c r="A1" s="1" t="inlineStr">
        <is>
          <t>Proceso</t>
        </is>
      </c>
      <c r="B1" s="1" t="inlineStr">
        <is>
          <t>Procedimiento</t>
        </is>
      </c>
      <c r="C1" s="1" t="inlineStr">
        <is>
          <t>Tarea</t>
        </is>
      </c>
      <c r="D1" s="1" t="inlineStr">
        <is>
          <t>Objetivo (por que se hace)</t>
        </is>
      </c>
      <c r="E1" s="1" t="inlineStr">
        <is>
          <t>Estado</t>
        </is>
      </c>
      <c r="F1" s="1" t="inlineStr">
        <is>
          <t>Responsable actual</t>
        </is>
      </c>
      <c r="G1" s="1" t="inlineStr">
        <is>
          <t>Frecuencia</t>
        </is>
      </c>
      <c r="H1" s="1" t="inlineStr">
        <is>
          <t>Tiempo estimado (min)</t>
        </is>
      </c>
      <c r="I1" s="1" t="inlineStr">
        <is>
          <t>Volumen mensual</t>
        </is>
      </c>
      <c r="J1" s="1" t="inlineStr">
        <is>
          <t>Horas-persona/mes</t>
        </is>
      </c>
      <c r="K1" s="1" t="inlineStr">
        <is>
          <t>Motivo si falta</t>
        </is>
      </c>
      <c r="L1" s="1" t="inlineStr">
        <is>
          <t>Prioridad</t>
        </is>
      </c>
      <c r="M1" s="1" t="inlineStr">
        <is>
          <t>Observaciones</t>
        </is>
      </c>
    </row>
    <row r="2">
      <c r="A2" s="2" t="inlineStr">
        <is>
          <t>TOP10</t>
        </is>
      </c>
      <c r="B2" s="2" t="inlineStr">
        <is>
          <t>Elaboracion y envio del informe semanal TOP10</t>
        </is>
      </c>
      <c r="C2" s="3" t="inlineStr">
        <is>
          <t>Ingresar a monitoreo.com y generar el Resumen Semanal de Eventos</t>
        </is>
      </c>
      <c r="D2" s="3" t="inlineStr">
        <is>
          <t>A completar</t>
        </is>
      </c>
      <c r="E2" s="4" t="inlineStr">
        <is>
          <t>Se hace</t>
        </is>
      </c>
      <c r="F2" s="2" t="inlineStr">
        <is>
          <t>RM (Ruben Moreyra)</t>
        </is>
      </c>
      <c r="G2" s="2" t="inlineStr">
        <is>
          <t>Semanal</t>
        </is>
      </c>
      <c r="H2" s="2" t="inlineStr">
        <is>
          <t>A confirmar</t>
        </is>
      </c>
      <c r="I2" s="2" t="inlineStr">
        <is>
          <t>4</t>
        </is>
      </c>
      <c r="J2" s="2" t="inlineStr">
        <is>
          <t>A confirmar</t>
        </is>
      </c>
      <c r="K2" s="3" t="inlineStr"/>
      <c r="L2" s="2" t="inlineStr"/>
      <c r="M2" s="3" t="inlineStr">
        <is>
          <t>Pasos 1-2 del instructivo Proceso-TOP10-06UB-AUE260420</t>
        </is>
      </c>
    </row>
    <row r="3">
      <c r="A3" s="2" t="inlineStr">
        <is>
          <t>TOP10</t>
        </is>
      </c>
      <c r="B3" s="2" t="inlineStr">
        <is>
          <t>Elaboracion y envio del informe semanal TOP10</t>
        </is>
      </c>
      <c r="C3" s="3" t="inlineStr">
        <is>
          <t>Filtrar por Total Operados y extraer el TOP10 de clientes</t>
        </is>
      </c>
      <c r="D3" s="3" t="inlineStr">
        <is>
          <t>A completar</t>
        </is>
      </c>
      <c r="E3" s="4" t="inlineStr">
        <is>
          <t>Se hace</t>
        </is>
      </c>
      <c r="F3" s="2" t="inlineStr">
        <is>
          <t>RM (Ruben Moreyra)</t>
        </is>
      </c>
      <c r="G3" s="2" t="inlineStr">
        <is>
          <t>Semanal</t>
        </is>
      </c>
      <c r="H3" s="2" t="inlineStr">
        <is>
          <t>A confirmar</t>
        </is>
      </c>
      <c r="I3" s="2" t="inlineStr">
        <is>
          <t>4</t>
        </is>
      </c>
      <c r="J3" s="2" t="inlineStr">
        <is>
          <t>A confirmar</t>
        </is>
      </c>
      <c r="K3" s="3" t="inlineStr"/>
      <c r="L3" s="2" t="inlineStr"/>
      <c r="M3" s="3" t="inlineStr">
        <is>
          <t>Paso 3</t>
        </is>
      </c>
    </row>
    <row r="4">
      <c r="A4" s="2" t="inlineStr">
        <is>
          <t>TOP10</t>
        </is>
      </c>
      <c r="B4" s="2" t="inlineStr">
        <is>
          <t>Elaboracion y envio del informe semanal TOP10</t>
        </is>
      </c>
      <c r="C4" s="3" t="inlineStr">
        <is>
          <t>Actualizar planilla Evento Semana por Semana (nueva hoja+formato)</t>
        </is>
      </c>
      <c r="D4" s="3" t="inlineStr">
        <is>
          <t>A completar</t>
        </is>
      </c>
      <c r="E4" s="4" t="inlineStr">
        <is>
          <t>Se hace</t>
        </is>
      </c>
      <c r="F4" s="2" t="inlineStr">
        <is>
          <t>RM (Ruben Moreyra)</t>
        </is>
      </c>
      <c r="G4" s="2" t="inlineStr">
        <is>
          <t>Semanal</t>
        </is>
      </c>
      <c r="H4" s="2" t="inlineStr">
        <is>
          <t>A confirmar</t>
        </is>
      </c>
      <c r="I4" s="2" t="inlineStr">
        <is>
          <t>4</t>
        </is>
      </c>
      <c r="J4" s="2" t="inlineStr">
        <is>
          <t>A confirmar</t>
        </is>
      </c>
      <c r="K4" s="3" t="inlineStr"/>
      <c r="L4" s="2" t="inlineStr"/>
      <c r="M4" s="3" t="inlineStr">
        <is>
          <t>Pasos 4-5</t>
        </is>
      </c>
    </row>
    <row r="5">
      <c r="A5" s="2" t="inlineStr">
        <is>
          <t>TOP10</t>
        </is>
      </c>
      <c r="B5" s="2" t="inlineStr">
        <is>
          <t>Elaboracion y envio del informe semanal TOP10</t>
        </is>
      </c>
      <c r="C5" s="3" t="inlineStr">
        <is>
          <t>Completar fila de la semana en Eventos por Semana (indicadores)</t>
        </is>
      </c>
      <c r="D5" s="3" t="inlineStr">
        <is>
          <t>A completar</t>
        </is>
      </c>
      <c r="E5" s="4" t="inlineStr">
        <is>
          <t>Se hace</t>
        </is>
      </c>
      <c r="F5" s="2" t="inlineStr">
        <is>
          <t>RM (Ruben Moreyra)</t>
        </is>
      </c>
      <c r="G5" s="2" t="inlineStr">
        <is>
          <t>Semanal</t>
        </is>
      </c>
      <c r="H5" s="2" t="inlineStr">
        <is>
          <t>A confirmar</t>
        </is>
      </c>
      <c r="I5" s="2" t="inlineStr">
        <is>
          <t>4</t>
        </is>
      </c>
      <c r="J5" s="2" t="inlineStr">
        <is>
          <t>A confirmar</t>
        </is>
      </c>
      <c r="K5" s="3" t="inlineStr"/>
      <c r="L5" s="2" t="inlineStr"/>
      <c r="M5" s="3" t="inlineStr">
        <is>
          <t>Paso 6</t>
        </is>
      </c>
    </row>
    <row r="6">
      <c r="A6" s="2" t="inlineStr">
        <is>
          <t>TOP10</t>
        </is>
      </c>
      <c r="B6" s="2" t="inlineStr">
        <is>
          <t>Elaboracion y envio del informe semanal TOP10</t>
        </is>
      </c>
      <c r="C6" s="3" t="inlineStr">
        <is>
          <t>Completar hoja Analisis TOP10</t>
        </is>
      </c>
      <c r="D6" s="3" t="inlineStr">
        <is>
          <t>A completar</t>
        </is>
      </c>
      <c r="E6" s="4" t="inlineStr">
        <is>
          <t>Se hace</t>
        </is>
      </c>
      <c r="F6" s="2" t="inlineStr">
        <is>
          <t>RM (Ruben Moreyra)</t>
        </is>
      </c>
      <c r="G6" s="2" t="inlineStr">
        <is>
          <t>Semanal</t>
        </is>
      </c>
      <c r="H6" s="2" t="inlineStr">
        <is>
          <t>A confirmar</t>
        </is>
      </c>
      <c r="I6" s="2" t="inlineStr">
        <is>
          <t>4</t>
        </is>
      </c>
      <c r="J6" s="2" t="inlineStr">
        <is>
          <t>A confirmar</t>
        </is>
      </c>
      <c r="K6" s="3" t="inlineStr"/>
      <c r="L6" s="2" t="inlineStr"/>
      <c r="M6" s="3" t="inlineStr">
        <is>
          <t>Paso 7</t>
        </is>
      </c>
    </row>
    <row r="7">
      <c r="A7" s="2" t="inlineStr">
        <is>
          <t>TOP10</t>
        </is>
      </c>
      <c r="B7" s="2" t="inlineStr">
        <is>
          <t>Elaboracion y envio del informe semanal TOP10</t>
        </is>
      </c>
      <c r="C7" s="3" t="inlineStr">
        <is>
          <t>Redactar correo del informe TOP10 con cuadros y enlaces</t>
        </is>
      </c>
      <c r="D7" s="3" t="inlineStr">
        <is>
          <t>A completar</t>
        </is>
      </c>
      <c r="E7" s="4" t="inlineStr">
        <is>
          <t>Se hace</t>
        </is>
      </c>
      <c r="F7" s="2" t="inlineStr">
        <is>
          <t>RM (Ruben Moreyra)</t>
        </is>
      </c>
      <c r="G7" s="2" t="inlineStr">
        <is>
          <t>Semanal</t>
        </is>
      </c>
      <c r="H7" s="2" t="inlineStr">
        <is>
          <t>A confirmar</t>
        </is>
      </c>
      <c r="I7" s="2" t="inlineStr">
        <is>
          <t>4</t>
        </is>
      </c>
      <c r="J7" s="2" t="inlineStr">
        <is>
          <t>A confirmar</t>
        </is>
      </c>
      <c r="K7" s="3" t="inlineStr"/>
      <c r="L7" s="2" t="inlineStr"/>
      <c r="M7" s="3" t="inlineStr">
        <is>
          <t>Pasos 8-10</t>
        </is>
      </c>
    </row>
    <row r="8">
      <c r="A8" s="2" t="inlineStr">
        <is>
          <t>TOP10</t>
        </is>
      </c>
      <c r="B8" s="2" t="inlineStr">
        <is>
          <t>Elaboracion y envio del informe semanal TOP10</t>
        </is>
      </c>
      <c r="C8" s="3" t="inlineStr">
        <is>
          <t>Enviar correo del informe TOP10 a DIR/TEC/AYL</t>
        </is>
      </c>
      <c r="D8" s="3" t="inlineStr">
        <is>
          <t>A completar</t>
        </is>
      </c>
      <c r="E8" s="4" t="inlineStr">
        <is>
          <t>Se hace</t>
        </is>
      </c>
      <c r="F8" s="2" t="inlineStr">
        <is>
          <t>RM (Ruben Moreyra)</t>
        </is>
      </c>
      <c r="G8" s="2" t="inlineStr">
        <is>
          <t>Semanal</t>
        </is>
      </c>
      <c r="H8" s="2" t="inlineStr">
        <is>
          <t>A confirmar</t>
        </is>
      </c>
      <c r="I8" s="2" t="inlineStr">
        <is>
          <t>4</t>
        </is>
      </c>
      <c r="J8" s="2" t="inlineStr">
        <is>
          <t>A confirmar</t>
        </is>
      </c>
      <c r="K8" s="3" t="inlineStr"/>
      <c r="L8" s="2" t="inlineStr"/>
      <c r="M8" s="3" t="inlineStr">
        <is>
          <t>Paso 11 - fin fase 1</t>
        </is>
      </c>
    </row>
    <row r="9">
      <c r="A9" s="2" t="inlineStr">
        <is>
          <t>TOP10</t>
        </is>
      </c>
      <c r="B9" s="2" t="inlineStr">
        <is>
          <t>Elaboracion y envio del informe semanal TOP10</t>
        </is>
      </c>
      <c r="C9" s="3" t="inlineStr">
        <is>
          <t>Indagar y documentar la gestion realizada con cada cliente del TOP10</t>
        </is>
      </c>
      <c r="D9" s="3" t="inlineStr">
        <is>
          <t>A completar</t>
        </is>
      </c>
      <c r="E9" s="4" t="inlineStr">
        <is>
          <t>Se hace</t>
        </is>
      </c>
      <c r="F9" s="2" t="inlineStr">
        <is>
          <t>RM (Ruben Moreyra)</t>
        </is>
      </c>
      <c r="G9" s="2" t="inlineStr">
        <is>
          <t>Semanal</t>
        </is>
      </c>
      <c r="H9" s="2" t="inlineStr">
        <is>
          <t>A confirmar</t>
        </is>
      </c>
      <c r="I9" s="2" t="inlineStr">
        <is>
          <t>4</t>
        </is>
      </c>
      <c r="J9" s="2" t="inlineStr">
        <is>
          <t>A confirmar</t>
        </is>
      </c>
      <c r="K9" s="3" t="inlineStr"/>
      <c r="L9" s="2" t="inlineStr">
        <is>
          <t>Alta</t>
        </is>
      </c>
      <c r="M9" s="3" t="inlineStr">
        <is>
          <t>Paso 12 - Observaciones, requiere contactar a cada cliente/tecnico</t>
        </is>
      </c>
    </row>
    <row r="10">
      <c r="A10" s="2" t="inlineStr">
        <is>
          <t>TOP10</t>
        </is>
      </c>
      <c r="B10" s="2" t="inlineStr">
        <is>
          <t>Elaboracion y envio del informe semanal TOP10</t>
        </is>
      </c>
      <c r="C10" s="3" t="inlineStr">
        <is>
          <t>Actualizar seguimiento del TOP10 de la semana anterior (Control Semana por Semana)</t>
        </is>
      </c>
      <c r="D10" s="3" t="inlineStr">
        <is>
          <t>A completar</t>
        </is>
      </c>
      <c r="E10" s="4" t="inlineStr">
        <is>
          <t>Se hace</t>
        </is>
      </c>
      <c r="F10" s="2" t="inlineStr">
        <is>
          <t>RM (Ruben Moreyra)</t>
        </is>
      </c>
      <c r="G10" s="2" t="inlineStr">
        <is>
          <t>Semanal</t>
        </is>
      </c>
      <c r="H10" s="2" t="inlineStr">
        <is>
          <t>A confirmar</t>
        </is>
      </c>
      <c r="I10" s="2" t="inlineStr">
        <is>
          <t>4</t>
        </is>
      </c>
      <c r="J10" s="2" t="inlineStr">
        <is>
          <t>A confirmar</t>
        </is>
      </c>
      <c r="K10" s="3" t="inlineStr"/>
      <c r="L10" s="2" t="inlineStr"/>
      <c r="M10" s="3" t="inlineStr">
        <is>
          <t>Paso 13</t>
        </is>
      </c>
    </row>
    <row r="11">
      <c r="A11" s="2" t="inlineStr">
        <is>
          <t>TOP10</t>
        </is>
      </c>
      <c r="B11" s="2" t="inlineStr">
        <is>
          <t>Elaboracion y envio del informe semanal TOP10</t>
        </is>
      </c>
      <c r="C11" s="3" t="inlineStr">
        <is>
          <t>Enviar respuesta final del informe con observaciones</t>
        </is>
      </c>
      <c r="D11" s="3" t="inlineStr">
        <is>
          <t>A completar</t>
        </is>
      </c>
      <c r="E11" s="4" t="inlineStr">
        <is>
          <t>Se hace</t>
        </is>
      </c>
      <c r="F11" s="2" t="inlineStr">
        <is>
          <t>RM (Ruben Moreyra)</t>
        </is>
      </c>
      <c r="G11" s="2" t="inlineStr">
        <is>
          <t>Semanal</t>
        </is>
      </c>
      <c r="H11" s="2" t="inlineStr">
        <is>
          <t>A confirmar</t>
        </is>
      </c>
      <c r="I11" s="2" t="inlineStr">
        <is>
          <t>4</t>
        </is>
      </c>
      <c r="J11" s="2" t="inlineStr">
        <is>
          <t>A confirmar</t>
        </is>
      </c>
      <c r="K11" s="3" t="inlineStr"/>
      <c r="L11" s="2" t="inlineStr"/>
      <c r="M11" s="3" t="inlineStr">
        <is>
          <t>Pasos 14 y 16</t>
        </is>
      </c>
    </row>
    <row r="12">
      <c r="A12" s="2" t="inlineStr">
        <is>
          <t>Revision de Eventos Diarios / Red</t>
        </is>
      </c>
      <c r="B12" s="2" t="inlineStr">
        <is>
          <t>Pendiente de desglose</t>
        </is>
      </c>
      <c r="C12" s="3" t="inlineStr">
        <is>
          <t>Pendiente de desglose (a detallar con RM)</t>
        </is>
      </c>
      <c r="D12" s="3" t="inlineStr">
        <is>
          <t>A completar</t>
        </is>
      </c>
      <c r="E12" s="4" t="inlineStr">
        <is>
          <t>Se hace</t>
        </is>
      </c>
      <c r="F12" s="2" t="inlineStr">
        <is>
          <t>RM (Ruben Moreyra)</t>
        </is>
      </c>
      <c r="G12" s="2" t="inlineStr">
        <is>
          <t>Semanal (viernes)</t>
        </is>
      </c>
      <c r="H12" s="2" t="inlineStr">
        <is>
          <t>A confirmar</t>
        </is>
      </c>
      <c r="I12" s="2" t="inlineStr">
        <is>
          <t>A confirmar</t>
        </is>
      </c>
      <c r="J12" s="2" t="inlineStr">
        <is>
          <t>A confirmar</t>
        </is>
      </c>
      <c r="K12" s="3" t="inlineStr"/>
      <c r="L12" s="2" t="inlineStr"/>
      <c r="M12" s="3" t="inlineStr">
        <is>
          <t>Dia asignado: viernes, comparte el dia con Revision de eventos diarios (ver fila siguiente) - son dos procesos distintos en un solo dia</t>
        </is>
      </c>
    </row>
    <row r="13">
      <c r="A13" s="2" t="inlineStr">
        <is>
          <t>Revision de Eventos Diarios / Red</t>
        </is>
      </c>
      <c r="B13" s="2" t="inlineStr">
        <is>
          <t>Pendiente de desglose</t>
        </is>
      </c>
      <c r="C13" s="3" t="inlineStr">
        <is>
          <t>Pendiente de desglose (a detallar con RM)</t>
        </is>
      </c>
      <c r="D13" s="3" t="inlineStr">
        <is>
          <t>A completar</t>
        </is>
      </c>
      <c r="E13" s="4" t="inlineStr">
        <is>
          <t>Se hace</t>
        </is>
      </c>
      <c r="F13" s="2" t="inlineStr">
        <is>
          <t>RM (Ruben Moreyra)</t>
        </is>
      </c>
      <c r="G13" s="2" t="inlineStr">
        <is>
          <t>Diaria</t>
        </is>
      </c>
      <c r="H13" s="2" t="inlineStr">
        <is>
          <t>A confirmar</t>
        </is>
      </c>
      <c r="I13" s="2" t="inlineStr">
        <is>
          <t>A confirmar</t>
        </is>
      </c>
      <c r="J13" s="2" t="inlineStr">
        <is>
          <t>A confirmar</t>
        </is>
      </c>
      <c r="K13" s="3" t="inlineStr"/>
      <c r="L13" s="2" t="inlineStr"/>
      <c r="M13" s="3" t="inlineStr">
        <is>
          <t>Se ejecuta todos los dias pero se prioriza/cierra los viernes junto con Red - revisar si es realmente semanal o diaria</t>
        </is>
      </c>
    </row>
    <row r="14">
      <c r="A14" s="2" t="inlineStr">
        <is>
          <t>Administracion General (AB)</t>
        </is>
      </c>
      <c r="B14" s="2" t="inlineStr">
        <is>
          <t>N/A</t>
        </is>
      </c>
      <c r="C14" s="3" t="inlineStr">
        <is>
          <t>Control e impresion de R.E.E.</t>
        </is>
      </c>
      <c r="D14" s="3" t="inlineStr">
        <is>
          <t>A completar</t>
        </is>
      </c>
      <c r="E14" s="4" t="inlineStr">
        <is>
          <t>Se hace</t>
        </is>
      </c>
      <c r="F14" s="2" t="inlineStr">
        <is>
          <t>AB</t>
        </is>
      </c>
      <c r="G14" s="2" t="inlineStr">
        <is>
          <t>Mensual</t>
        </is>
      </c>
      <c r="H14" s="2" t="inlineStr">
        <is>
          <t>60</t>
        </is>
      </c>
      <c r="I14" s="2" t="inlineStr">
        <is>
          <t>1</t>
        </is>
      </c>
      <c r="J14" s="2" t="inlineStr">
        <is>
          <t>No calcular aun</t>
        </is>
      </c>
      <c r="K14" s="3" t="inlineStr"/>
      <c r="L14" s="2" t="inlineStr"/>
      <c r="M14" s="3" t="inlineStr">
        <is>
          <t>Dia/momento: Ultimo miercoles. | Tiempo de origen (planilla Procesos Diarios) sin validar - no usar para calcular horas hasta confirmar con AB/RM</t>
        </is>
      </c>
    </row>
    <row r="15">
      <c r="A15" s="2" t="inlineStr">
        <is>
          <t>Administracion General (AB)</t>
        </is>
      </c>
      <c r="B15" s="2" t="inlineStr">
        <is>
          <t>N/A</t>
        </is>
      </c>
      <c r="C15" s="3" t="inlineStr">
        <is>
          <t>Control y solicitud de CSID a CM</t>
        </is>
      </c>
      <c r="D15" s="3" t="inlineStr">
        <is>
          <t>A completar</t>
        </is>
      </c>
      <c r="E15" s="4" t="inlineStr">
        <is>
          <t>Se hace</t>
        </is>
      </c>
      <c r="F15" s="2" t="inlineStr">
        <is>
          <t>AB</t>
        </is>
      </c>
      <c r="G15" s="2" t="inlineStr">
        <is>
          <t>Quincenal</t>
        </is>
      </c>
      <c r="H15" s="2" t="inlineStr">
        <is>
          <t>15</t>
        </is>
      </c>
      <c r="I15" s="2" t="inlineStr">
        <is>
          <t>2</t>
        </is>
      </c>
      <c r="J15" s="2" t="inlineStr">
        <is>
          <t>No calcular aun</t>
        </is>
      </c>
      <c r="K15" s="3" t="inlineStr"/>
      <c r="L15" s="2" t="inlineStr"/>
      <c r="M15" s="3" t="inlineStr">
        <is>
          <t>Dia/momento: 2do y 4to jueves. | Tiempo de origen (planilla Procesos Diarios) sin validar - no usar para calcular horas hasta confirmar con AB/RM</t>
        </is>
      </c>
    </row>
    <row r="16">
      <c r="A16" s="2" t="inlineStr">
        <is>
          <t>Rutina Administrativa Diaria (RM)</t>
        </is>
      </c>
      <c r="B16" s="2" t="inlineStr">
        <is>
          <t>N/A</t>
        </is>
      </c>
      <c r="C16" s="3" t="inlineStr">
        <is>
          <t>Aviso y coordinacion con ST</t>
        </is>
      </c>
      <c r="D16" s="3" t="inlineStr">
        <is>
          <t>A completar</t>
        </is>
      </c>
      <c r="E16" s="4" t="inlineStr">
        <is>
          <t>Se hace</t>
        </is>
      </c>
      <c r="F16" s="2" t="inlineStr">
        <is>
          <t>RM</t>
        </is>
      </c>
      <c r="G16" s="2" t="inlineStr">
        <is>
          <t>Diario</t>
        </is>
      </c>
      <c r="H16" s="2" t="inlineStr">
        <is>
          <t>45</t>
        </is>
      </c>
      <c r="I16" s="2" t="inlineStr">
        <is>
          <t>22</t>
        </is>
      </c>
      <c r="J16" s="2" t="inlineStr">
        <is>
          <t>No calcular aun</t>
        </is>
      </c>
      <c r="K16" s="3" t="inlineStr"/>
      <c r="L16" s="2" t="inlineStr"/>
      <c r="M16" s="3" t="inlineStr">
        <is>
          <t>Dia/momento: Primer dia. | Tiempo de origen (planilla Procesos Diarios) sin validar - no usar para calcular horas hasta confirmar con AB/RM</t>
        </is>
      </c>
    </row>
    <row r="17">
      <c r="A17" s="2" t="inlineStr">
        <is>
          <t>Rutina Administrativa Diaria (RM)</t>
        </is>
      </c>
      <c r="B17" s="2" t="inlineStr">
        <is>
          <t>N/A</t>
        </is>
      </c>
      <c r="C17" s="3" t="inlineStr">
        <is>
          <t>Subir informe de tareas diarias</t>
        </is>
      </c>
      <c r="D17" s="3" t="inlineStr">
        <is>
          <t>A completar</t>
        </is>
      </c>
      <c r="E17" s="4" t="inlineStr">
        <is>
          <t>Se hace</t>
        </is>
      </c>
      <c r="F17" s="2" t="inlineStr">
        <is>
          <t>RM</t>
        </is>
      </c>
      <c r="G17" s="2" t="inlineStr">
        <is>
          <t>Diario</t>
        </is>
      </c>
      <c r="H17" s="2" t="inlineStr">
        <is>
          <t>5</t>
        </is>
      </c>
      <c r="I17" s="2" t="inlineStr">
        <is>
          <t>22</t>
        </is>
      </c>
      <c r="J17" s="2" t="inlineStr">
        <is>
          <t>No calcular aun</t>
        </is>
      </c>
      <c r="K17" s="3" t="inlineStr"/>
      <c r="L17" s="2" t="inlineStr"/>
      <c r="M17" s="3" t="inlineStr">
        <is>
          <t>Dia/momento: Primer dia. | Tiempo de origen (planilla Procesos Diarios) sin validar - no usar para calcular horas hasta confirmar con AB/RM</t>
        </is>
      </c>
    </row>
    <row r="18">
      <c r="A18" s="2" t="inlineStr">
        <is>
          <t>Rutina Administrativa Diaria (RM)</t>
        </is>
      </c>
      <c r="B18" s="2" t="inlineStr">
        <is>
          <t>N/A</t>
        </is>
      </c>
      <c r="C18" s="3" t="inlineStr">
        <is>
          <t>Chequeo de ST realizados en el dia</t>
        </is>
      </c>
      <c r="D18" s="3" t="inlineStr">
        <is>
          <t>A completar</t>
        </is>
      </c>
      <c r="E18" s="4" t="inlineStr">
        <is>
          <t>Se hace</t>
        </is>
      </c>
      <c r="F18" s="2" t="inlineStr">
        <is>
          <t>RM</t>
        </is>
      </c>
      <c r="G18" s="2" t="inlineStr">
        <is>
          <t>Diario</t>
        </is>
      </c>
      <c r="H18" s="2" t="inlineStr">
        <is>
          <t>15</t>
        </is>
      </c>
      <c r="I18" s="2" t="inlineStr">
        <is>
          <t>22</t>
        </is>
      </c>
      <c r="J18" s="2" t="inlineStr">
        <is>
          <t>No calcular aun</t>
        </is>
      </c>
      <c r="K18" s="3" t="inlineStr"/>
      <c r="L18" s="2" t="inlineStr"/>
      <c r="M18" s="3" t="inlineStr">
        <is>
          <t>Dia/momento: Primer dia. | Tiempo de origen (planilla Procesos Diarios) sin validar - no usar para calcular horas hasta confirmar con AB/RM</t>
        </is>
      </c>
    </row>
    <row r="19">
      <c r="A19" s="2" t="inlineStr">
        <is>
          <t>Rutina Administrativa Diaria (RM)</t>
        </is>
      </c>
      <c r="B19" s="2" t="inlineStr">
        <is>
          <t>N/A</t>
        </is>
      </c>
      <c r="C19" s="3" t="inlineStr">
        <is>
          <t>Contestar mensajes de clientes/mail (primera hora)</t>
        </is>
      </c>
      <c r="D19" s="3" t="inlineStr">
        <is>
          <t>A completar</t>
        </is>
      </c>
      <c r="E19" s="4" t="inlineStr">
        <is>
          <t>Se hace</t>
        </is>
      </c>
      <c r="F19" s="2" t="inlineStr">
        <is>
          <t>RM</t>
        </is>
      </c>
      <c r="G19" s="2" t="inlineStr">
        <is>
          <t>Diario</t>
        </is>
      </c>
      <c r="H19" s="2" t="inlineStr">
        <is>
          <t>60</t>
        </is>
      </c>
      <c r="I19" s="2" t="inlineStr">
        <is>
          <t>22</t>
        </is>
      </c>
      <c r="J19" s="2" t="inlineStr">
        <is>
          <t>No calcular aun</t>
        </is>
      </c>
      <c r="K19" s="3" t="inlineStr"/>
      <c r="L19" s="2" t="inlineStr"/>
      <c r="M19" s="3" t="inlineStr">
        <is>
          <t>Dia/momento: Primer dia. | Tiempo de origen (planilla Procesos Diarios) sin validar - no usar para calcular horas hasta confirmar con AB/RM</t>
        </is>
      </c>
    </row>
    <row r="20">
      <c r="A20" s="2" t="inlineStr">
        <is>
          <t>Rutina Administrativa Diaria (RM)</t>
        </is>
      </c>
      <c r="B20" s="2" t="inlineStr">
        <is>
          <t>N/A</t>
        </is>
      </c>
      <c r="C20" s="3" t="inlineStr">
        <is>
          <t>Revisar planilla de Procesos (primera hora)</t>
        </is>
      </c>
      <c r="D20" s="3" t="inlineStr">
        <is>
          <t>A completar</t>
        </is>
      </c>
      <c r="E20" s="4" t="inlineStr">
        <is>
          <t>Se hace</t>
        </is>
      </c>
      <c r="F20" s="2" t="inlineStr">
        <is>
          <t>RM</t>
        </is>
      </c>
      <c r="G20" s="2" t="inlineStr">
        <is>
          <t>Diario</t>
        </is>
      </c>
      <c r="H20" s="2" t="inlineStr">
        <is>
          <t>1</t>
        </is>
      </c>
      <c r="I20" s="2" t="inlineStr">
        <is>
          <t>22</t>
        </is>
      </c>
      <c r="J20" s="2" t="inlineStr">
        <is>
          <t>No calcular aun</t>
        </is>
      </c>
      <c r="K20" s="3" t="inlineStr"/>
      <c r="L20" s="2" t="inlineStr"/>
      <c r="M20" s="3" t="inlineStr">
        <is>
          <t>Dia/momento: Primer dia. | Tiempo de origen (planilla Procesos Diarios) sin validar - no usar para calcular horas hasta confirmar con AB/RM</t>
        </is>
      </c>
    </row>
    <row r="21">
      <c r="A21" s="2" t="inlineStr">
        <is>
          <t>Rutina Administrativa Diaria (RM)</t>
        </is>
      </c>
      <c r="B21" s="2" t="inlineStr">
        <is>
          <t>N/A</t>
        </is>
      </c>
      <c r="C21" s="3" t="inlineStr">
        <is>
          <t>Revisar planilla de Procesos (ultima hora)</t>
        </is>
      </c>
      <c r="D21" s="3" t="inlineStr">
        <is>
          <t>A completar</t>
        </is>
      </c>
      <c r="E21" s="4" t="inlineStr">
        <is>
          <t>Se hace</t>
        </is>
      </c>
      <c r="F21" s="2" t="inlineStr">
        <is>
          <t>RM</t>
        </is>
      </c>
      <c r="G21" s="2" t="inlineStr">
        <is>
          <t>Diario</t>
        </is>
      </c>
      <c r="H21" s="2" t="inlineStr">
        <is>
          <t>1</t>
        </is>
      </c>
      <c r="I21" s="2" t="inlineStr">
        <is>
          <t>22</t>
        </is>
      </c>
      <c r="J21" s="2" t="inlineStr">
        <is>
          <t>No calcular aun</t>
        </is>
      </c>
      <c r="K21" s="3" t="inlineStr"/>
      <c r="L21" s="2" t="inlineStr"/>
      <c r="M21" s="3" t="inlineStr">
        <is>
          <t>Dia/momento: Primer dia. | Tiempo de origen (planilla Procesos Diarios) sin validar - no usar para calcular horas hasta confirmar con AB/RM</t>
        </is>
      </c>
    </row>
    <row r="22">
      <c r="A22" s="2" t="inlineStr">
        <is>
          <t>Coordinacion de Guardia</t>
        </is>
      </c>
      <c r="B22" s="2" t="inlineStr">
        <is>
          <t>Coordinacion de Guardia</t>
        </is>
      </c>
      <c r="C22" s="3" t="inlineStr">
        <is>
          <t>Recepcion de N de Ticket</t>
        </is>
      </c>
      <c r="D22" s="3" t="inlineStr">
        <is>
          <t>A completar</t>
        </is>
      </c>
      <c r="E22" s="4" t="inlineStr">
        <is>
          <t>Se hace</t>
        </is>
      </c>
      <c r="F22" s="2" t="inlineStr">
        <is>
          <t>RM</t>
        </is>
      </c>
      <c r="G22" s="2" t="inlineStr">
        <is>
          <t>Mensual</t>
        </is>
      </c>
      <c r="H22" s="2" t="inlineStr">
        <is>
          <t>15</t>
        </is>
      </c>
      <c r="I22" s="2" t="inlineStr">
        <is>
          <t>1</t>
        </is>
      </c>
      <c r="J22" s="2" t="inlineStr">
        <is>
          <t>No calcular aun</t>
        </is>
      </c>
      <c r="K22" s="3" t="inlineStr"/>
      <c r="L22" s="2" t="inlineStr"/>
      <c r="M22" s="3" t="inlineStr">
        <is>
          <t>Tiempo de origen (planilla Procesos Diarios) sin validar - no usar para calcular horas hasta confirmar con AB/RM</t>
        </is>
      </c>
    </row>
    <row r="23">
      <c r="A23" s="2" t="inlineStr">
        <is>
          <t>Coordinacion de Guardia</t>
        </is>
      </c>
      <c r="B23" s="2" t="inlineStr">
        <is>
          <t>Coordinacion de Guardia</t>
        </is>
      </c>
      <c r="C23" s="3" t="inlineStr">
        <is>
          <t>Compartir N de Ticket en WhatsApp y Telegram</t>
        </is>
      </c>
      <c r="D23" s="3" t="inlineStr">
        <is>
          <t>A completar</t>
        </is>
      </c>
      <c r="E23" s="4" t="inlineStr">
        <is>
          <t>Se hace</t>
        </is>
      </c>
      <c r="F23" s="2" t="inlineStr">
        <is>
          <t>RM</t>
        </is>
      </c>
      <c r="G23" s="2" t="inlineStr">
        <is>
          <t>Mensual</t>
        </is>
      </c>
      <c r="H23" s="2" t="inlineStr">
        <is>
          <t>5</t>
        </is>
      </c>
      <c r="I23" s="2" t="inlineStr">
        <is>
          <t>1</t>
        </is>
      </c>
      <c r="J23" s="2" t="inlineStr">
        <is>
          <t>No calcular aun</t>
        </is>
      </c>
      <c r="K23" s="3" t="inlineStr"/>
      <c r="L23" s="2" t="inlineStr"/>
      <c r="M23" s="3" t="inlineStr">
        <is>
          <t>Tiempo de origen (planilla Procesos Diarios) sin validar - no usar para calcular horas hasta confirmar con AB/RM</t>
        </is>
      </c>
    </row>
    <row r="24">
      <c r="A24" s="2" t="inlineStr">
        <is>
          <t>Coordinacion de Guardia</t>
        </is>
      </c>
      <c r="B24" s="2" t="inlineStr">
        <is>
          <t>Coordinacion de Guardia</t>
        </is>
      </c>
      <c r="C24" s="3" t="inlineStr">
        <is>
          <t>Coordinacion de guardia CM</t>
        </is>
      </c>
      <c r="D24" s="3" t="inlineStr">
        <is>
          <t>A completar</t>
        </is>
      </c>
      <c r="E24" s="4" t="inlineStr">
        <is>
          <t>Se hace</t>
        </is>
      </c>
      <c r="F24" s="2" t="inlineStr">
        <is>
          <t>RM</t>
        </is>
      </c>
      <c r="G24" s="2" t="inlineStr">
        <is>
          <t>Semanal</t>
        </is>
      </c>
      <c r="H24" s="2" t="inlineStr">
        <is>
          <t>15</t>
        </is>
      </c>
      <c r="I24" s="2" t="inlineStr">
        <is>
          <t>4.33</t>
        </is>
      </c>
      <c r="J24" s="2" t="inlineStr">
        <is>
          <t>No calcular aun</t>
        </is>
      </c>
      <c r="K24" s="3" t="inlineStr"/>
      <c r="L24" s="2" t="inlineStr"/>
      <c r="M24" s="3" t="inlineStr">
        <is>
          <t>Dia/momento: Miercoles. | Tiempo de origen (planilla Procesos Diarios) sin validar - no usar para calcular horas hasta confirmar con AB/RM</t>
        </is>
      </c>
    </row>
    <row r="25">
      <c r="A25" s="2" t="inlineStr">
        <is>
          <t>Coordinacion de Guardia</t>
        </is>
      </c>
      <c r="B25" s="2" t="inlineStr">
        <is>
          <t>Coordinacion de Guardia</t>
        </is>
      </c>
      <c r="C25" s="3" t="inlineStr">
        <is>
          <t>Agregar tecnico a guardia CM</t>
        </is>
      </c>
      <c r="D25" s="3" t="inlineStr">
        <is>
          <t>A completar</t>
        </is>
      </c>
      <c r="E25" s="4" t="inlineStr">
        <is>
          <t>Se hace</t>
        </is>
      </c>
      <c r="F25" s="2" t="inlineStr">
        <is>
          <t>RM</t>
        </is>
      </c>
      <c r="G25" s="2" t="inlineStr">
        <is>
          <t>Semanal</t>
        </is>
      </c>
      <c r="H25" s="2" t="inlineStr">
        <is>
          <t>A confirmar</t>
        </is>
      </c>
      <c r="I25" s="2" t="inlineStr">
        <is>
          <t>4.33</t>
        </is>
      </c>
      <c r="J25" s="2" t="inlineStr">
        <is>
          <t>A confirmar</t>
        </is>
      </c>
      <c r="K25" s="3" t="inlineStr"/>
      <c r="L25" s="2" t="inlineStr"/>
      <c r="M25" s="3" t="inlineStr">
        <is>
          <t>Dia/momento: Viernes. Tiempo ilegible en el PDF - confirmar</t>
        </is>
      </c>
    </row>
    <row r="26">
      <c r="A26" s="2" t="inlineStr">
        <is>
          <t>Coordinacion de Guardia</t>
        </is>
      </c>
      <c r="B26" s="2" t="inlineStr">
        <is>
          <t>Coordinacion de Guardia</t>
        </is>
      </c>
      <c r="C26" s="3" t="inlineStr">
        <is>
          <t>Sacar tecnico de guardia CM</t>
        </is>
      </c>
      <c r="D26" s="3" t="inlineStr">
        <is>
          <t>A completar</t>
        </is>
      </c>
      <c r="E26" s="4" t="inlineStr">
        <is>
          <t>Se hace</t>
        </is>
      </c>
      <c r="F26" s="2" t="inlineStr">
        <is>
          <t>RM</t>
        </is>
      </c>
      <c r="G26" s="2" t="inlineStr">
        <is>
          <t>Semanal</t>
        </is>
      </c>
      <c r="H26" s="2" t="inlineStr">
        <is>
          <t>A confirmar</t>
        </is>
      </c>
      <c r="I26" s="2" t="inlineStr">
        <is>
          <t>4.33</t>
        </is>
      </c>
      <c r="J26" s="2" t="inlineStr">
        <is>
          <t>A confirmar</t>
        </is>
      </c>
      <c r="K26" s="3" t="inlineStr"/>
      <c r="L26" s="2" t="inlineStr"/>
      <c r="M26" s="3" t="inlineStr">
        <is>
          <t>Dia/momento: Viernes. Tiempo ilegible en el PDF - confirmar</t>
        </is>
      </c>
    </row>
    <row r="27">
      <c r="A27" s="2" t="inlineStr">
        <is>
          <t>ODS (Ordenes de Servicio)</t>
        </is>
      </c>
      <c r="B27" s="2" t="inlineStr">
        <is>
          <t>OS</t>
        </is>
      </c>
      <c r="C27" s="3" t="inlineStr">
        <is>
          <t>Control e impresion de O.D.S.</t>
        </is>
      </c>
      <c r="D27" s="3" t="inlineStr">
        <is>
          <t>A completar</t>
        </is>
      </c>
      <c r="E27" s="4" t="inlineStr">
        <is>
          <t>Se hace</t>
        </is>
      </c>
      <c r="F27" s="2" t="inlineStr">
        <is>
          <t>RM</t>
        </is>
      </c>
      <c r="G27" s="2" t="inlineStr">
        <is>
          <t>Mensual</t>
        </is>
      </c>
      <c r="H27" s="2" t="inlineStr">
        <is>
          <t>45</t>
        </is>
      </c>
      <c r="I27" s="2" t="inlineStr">
        <is>
          <t>1</t>
        </is>
      </c>
      <c r="J27" s="2" t="inlineStr">
        <is>
          <t>No calcular aun</t>
        </is>
      </c>
      <c r="K27" s="3" t="inlineStr"/>
      <c r="L27" s="2" t="inlineStr"/>
      <c r="M27" s="3" t="inlineStr">
        <is>
          <t>Dia/momento: Primer jueves. | Tiempo de origen (planilla Procesos Diarios) sin validar - no usar para calcular horas hasta confirmar con AB/RM</t>
        </is>
      </c>
    </row>
    <row r="28">
      <c r="A28" s="2" t="inlineStr">
        <is>
          <t>ODS (Ordenes de Servicio)</t>
        </is>
      </c>
      <c r="B28" s="2" t="inlineStr">
        <is>
          <t>OS</t>
        </is>
      </c>
      <c r="C28" s="3" t="inlineStr">
        <is>
          <t>Control e impresion de etiquetas de baterias</t>
        </is>
      </c>
      <c r="D28" s="3" t="inlineStr">
        <is>
          <t>A completar</t>
        </is>
      </c>
      <c r="E28" s="4" t="inlineStr">
        <is>
          <t>Se hace</t>
        </is>
      </c>
      <c r="F28" s="2" t="inlineStr">
        <is>
          <t>RM</t>
        </is>
      </c>
      <c r="G28" s="2" t="inlineStr">
        <is>
          <t>Mensual</t>
        </is>
      </c>
      <c r="H28" s="2" t="inlineStr">
        <is>
          <t>45</t>
        </is>
      </c>
      <c r="I28" s="2" t="inlineStr">
        <is>
          <t>1</t>
        </is>
      </c>
      <c r="J28" s="2" t="inlineStr">
        <is>
          <t>No calcular aun</t>
        </is>
      </c>
      <c r="K28" s="3" t="inlineStr"/>
      <c r="L28" s="2" t="inlineStr"/>
      <c r="M28" s="3" t="inlineStr">
        <is>
          <t>Dia/momento: Tercer jueves. | Tiempo de origen (planilla Procesos Diarios) sin validar - no usar para calcular horas hasta confirmar con AB/RM</t>
        </is>
      </c>
    </row>
    <row r="29">
      <c r="A29" s="2" t="inlineStr">
        <is>
          <t>ODS (Ordenes de Servicio)</t>
        </is>
      </c>
      <c r="B29" s="2" t="inlineStr">
        <is>
          <t>OS</t>
        </is>
      </c>
      <c r="C29" s="3" t="inlineStr">
        <is>
          <t>Carga de N de ODS a Telegram</t>
        </is>
      </c>
      <c r="D29" s="3" t="inlineStr">
        <is>
          <t>A completar</t>
        </is>
      </c>
      <c r="E29" s="4" t="inlineStr">
        <is>
          <t>Se hace</t>
        </is>
      </c>
      <c r="F29" s="2" t="inlineStr">
        <is>
          <t>RM</t>
        </is>
      </c>
      <c r="G29" s="2" t="inlineStr">
        <is>
          <t>Semanal</t>
        </is>
      </c>
      <c r="H29" s="2" t="inlineStr">
        <is>
          <t>15</t>
        </is>
      </c>
      <c r="I29" s="2" t="inlineStr">
        <is>
          <t>4.33</t>
        </is>
      </c>
      <c r="J29" s="2" t="inlineStr">
        <is>
          <t>No calcular aun</t>
        </is>
      </c>
      <c r="K29" s="3" t="inlineStr"/>
      <c r="L29" s="2" t="inlineStr"/>
      <c r="M29" s="3" t="inlineStr">
        <is>
          <t>Dia/momento: Lunes. | Tiempo de origen (planilla Procesos Diarios) sin validar - no usar para calcular horas hasta confirmar con AB/RM</t>
        </is>
      </c>
    </row>
    <row r="30">
      <c r="A30" s="2" t="inlineStr">
        <is>
          <t>ODS (Ordenes de Servicio)</t>
        </is>
      </c>
      <c r="B30" s="2" t="inlineStr">
        <is>
          <t>OS</t>
        </is>
      </c>
      <c r="C30" s="3" t="inlineStr">
        <is>
          <t>Carga de ODS a CM</t>
        </is>
      </c>
      <c r="D30" s="3" t="inlineStr">
        <is>
          <t>A completar</t>
        </is>
      </c>
      <c r="E30" s="4" t="inlineStr">
        <is>
          <t>Se hace</t>
        </is>
      </c>
      <c r="F30" s="2" t="inlineStr">
        <is>
          <t>RM</t>
        </is>
      </c>
      <c r="G30" s="2" t="inlineStr">
        <is>
          <t>Semanal</t>
        </is>
      </c>
      <c r="H30" s="2" t="inlineStr">
        <is>
          <t>360</t>
        </is>
      </c>
      <c r="I30" s="2" t="inlineStr">
        <is>
          <t>4.33</t>
        </is>
      </c>
      <c r="J30" s="2" t="inlineStr">
        <is>
          <t>No calcular aun</t>
        </is>
      </c>
      <c r="K30" s="3" t="inlineStr"/>
      <c r="L30" s="2" t="inlineStr"/>
      <c r="M30" s="3" t="inlineStr">
        <is>
          <t>Dia/momento: Lunes y Martes. | Tiempo de origen (planilla Procesos Diarios) sin validar - no usar para calcular horas hasta confirmar con AB/RM</t>
        </is>
      </c>
    </row>
    <row r="31">
      <c r="A31" s="2" t="inlineStr">
        <is>
          <t>ODS (Ordenes de Servicio)</t>
        </is>
      </c>
      <c r="B31" s="2" t="inlineStr">
        <is>
          <t>OS</t>
        </is>
      </c>
      <c r="C31" s="3" t="inlineStr">
        <is>
          <t>Entrega de ODS a Administracion</t>
        </is>
      </c>
      <c r="D31" s="3" t="inlineStr">
        <is>
          <t>A completar</t>
        </is>
      </c>
      <c r="E31" s="4" t="inlineStr">
        <is>
          <t>Se hace</t>
        </is>
      </c>
      <c r="F31" s="2" t="inlineStr">
        <is>
          <t>RM</t>
        </is>
      </c>
      <c r="G31" s="2" t="inlineStr">
        <is>
          <t>Semanal</t>
        </is>
      </c>
      <c r="H31" s="2" t="inlineStr">
        <is>
          <t>10</t>
        </is>
      </c>
      <c r="I31" s="2" t="inlineStr">
        <is>
          <t>4.33</t>
        </is>
      </c>
      <c r="J31" s="2" t="inlineStr">
        <is>
          <t>No calcular aun</t>
        </is>
      </c>
      <c r="K31" s="3" t="inlineStr"/>
      <c r="L31" s="2" t="inlineStr"/>
      <c r="M31" s="3" t="inlineStr">
        <is>
          <t>Dia/momento: Lunes. | Tiempo de origen (planilla Procesos Diarios) sin validar - no usar para calcular horas hasta confirmar con AB/RM</t>
        </is>
      </c>
    </row>
    <row r="32">
      <c r="A32" s="2" t="inlineStr">
        <is>
          <t>ODS (Ordenes de Servicio)</t>
        </is>
      </c>
      <c r="B32" s="2" t="inlineStr">
        <is>
          <t>OS</t>
        </is>
      </c>
      <c r="C32" s="3" t="inlineStr">
        <is>
          <t>Control de ODS cargadas y descuentos</t>
        </is>
      </c>
      <c r="D32" s="3" t="inlineStr">
        <is>
          <t>A completar</t>
        </is>
      </c>
      <c r="E32" s="4" t="inlineStr">
        <is>
          <t>Se hace</t>
        </is>
      </c>
      <c r="F32" s="2" t="inlineStr">
        <is>
          <t>RM</t>
        </is>
      </c>
      <c r="G32" s="2" t="inlineStr">
        <is>
          <t>Semanal</t>
        </is>
      </c>
      <c r="H32" s="2" t="inlineStr">
        <is>
          <t>30</t>
        </is>
      </c>
      <c r="I32" s="2" t="inlineStr">
        <is>
          <t>4.33</t>
        </is>
      </c>
      <c r="J32" s="2" t="inlineStr">
        <is>
          <t>No calcular aun</t>
        </is>
      </c>
      <c r="K32" s="3" t="inlineStr"/>
      <c r="L32" s="2" t="inlineStr"/>
      <c r="M32" s="3" t="inlineStr">
        <is>
          <t>Dia/momento: Lunes y Martes. | Tiempo de origen (planilla Procesos Diarios) sin validar - no usar para calcular horas hasta confirmar con AB/RM</t>
        </is>
      </c>
    </row>
    <row r="33">
      <c r="A33" s="2" t="inlineStr">
        <is>
          <t>Configuracion AXPRO (RM)</t>
        </is>
      </c>
      <c r="B33" s="2" t="inlineStr">
        <is>
          <t>N/A</t>
        </is>
      </c>
      <c r="C33" s="3" t="inlineStr">
        <is>
          <t>Cargar factura Personal Jasper</t>
        </is>
      </c>
      <c r="D33" s="3" t="inlineStr">
        <is>
          <t>A completar</t>
        </is>
      </c>
      <c r="E33" s="4" t="inlineStr">
        <is>
          <t>Se hace</t>
        </is>
      </c>
      <c r="F33" s="2" t="inlineStr">
        <is>
          <t>RM</t>
        </is>
      </c>
      <c r="G33" s="2" t="inlineStr">
        <is>
          <t>Mensual</t>
        </is>
      </c>
      <c r="H33" s="2" t="inlineStr">
        <is>
          <t>15</t>
        </is>
      </c>
      <c r="I33" s="2" t="inlineStr">
        <is>
          <t>1</t>
        </is>
      </c>
      <c r="J33" s="2" t="inlineStr">
        <is>
          <t>No calcular aun</t>
        </is>
      </c>
      <c r="K33" s="3" t="inlineStr"/>
      <c r="L33" s="2" t="inlineStr"/>
      <c r="M33" s="3" t="inlineStr">
        <is>
          <t>Dia/momento: Dia 13. | Tiempo de origen (planilla Procesos Diarios) sin validar - no usar para calcular horas hasta confirmar con AB/RM | JL confirmo (18/08/2026): es el mismo proceso Chips que el de AB (bloqueo/desbloqueo AXpro/Paradox, jueves) - dos procedimientos de un mismo proceso. Fusion pendiente de hacer en detalle mas adelante. | Renombrado el 18/08/2026: JL confirmo que el jueves de RM se llama 'Configuracion AXPRO', pero estas tareas de facturacion/altas-bajas de chips no calzan obviamente con ese nombre - PENDIENTE confirmar si son lo mismo o si Configuracion AXPRO es otra cosa aparte.</t>
        </is>
      </c>
    </row>
    <row r="34">
      <c r="A34" s="2" t="inlineStr">
        <is>
          <t>Configuracion AXPRO (RM)</t>
        </is>
      </c>
      <c r="B34" s="2" t="inlineStr">
        <is>
          <t>N/A</t>
        </is>
      </c>
      <c r="C34" s="3" t="inlineStr">
        <is>
          <t>Cargar factura Movistar Smart</t>
        </is>
      </c>
      <c r="D34" s="3" t="inlineStr">
        <is>
          <t>A completar</t>
        </is>
      </c>
      <c r="E34" s="4" t="inlineStr">
        <is>
          <t>Se hace</t>
        </is>
      </c>
      <c r="F34" s="2" t="inlineStr">
        <is>
          <t>RM</t>
        </is>
      </c>
      <c r="G34" s="2" t="inlineStr">
        <is>
          <t>Mensual</t>
        </is>
      </c>
      <c r="H34" s="2" t="inlineStr">
        <is>
          <t>15</t>
        </is>
      </c>
      <c r="I34" s="2" t="inlineStr">
        <is>
          <t>1</t>
        </is>
      </c>
      <c r="J34" s="2" t="inlineStr">
        <is>
          <t>No calcular aun</t>
        </is>
      </c>
      <c r="K34" s="3" t="inlineStr"/>
      <c r="L34" s="2" t="inlineStr"/>
      <c r="M34" s="3" t="inlineStr">
        <is>
          <t>Dia/momento: Dia 13. | Tiempo de origen (planilla Procesos Diarios) sin validar - no usar para calcular horas hasta confirmar con AB/RM | JL confirmo (18/08/2026): es el mismo proceso Chips que el de AB (bloqueo/desbloqueo AXpro/Paradox, jueves) - dos procedimientos de un mismo proceso. Fusion pendiente de hacer en detalle mas adelante. | Renombrado el 18/08/2026: JL confirmo que el jueves de RM se llama 'Configuracion AXPRO', pero estas tareas de facturacion/altas-bajas de chips no calzan obviamente con ese nombre - PENDIENTE confirmar si son lo mismo o si Configuracion AXPRO es otra cosa aparte.</t>
        </is>
      </c>
    </row>
    <row r="35">
      <c r="A35" s="2" t="inlineStr">
        <is>
          <t>Configuracion AXPRO (RM)</t>
        </is>
      </c>
      <c r="B35" s="2" t="inlineStr">
        <is>
          <t>N/A</t>
        </is>
      </c>
      <c r="C35" s="3" t="inlineStr">
        <is>
          <t>Cargar factura Claro Empleados</t>
        </is>
      </c>
      <c r="D35" s="3" t="inlineStr">
        <is>
          <t>A completar</t>
        </is>
      </c>
      <c r="E35" s="4" t="inlineStr">
        <is>
          <t>Se hace</t>
        </is>
      </c>
      <c r="F35" s="2" t="inlineStr">
        <is>
          <t>RM</t>
        </is>
      </c>
      <c r="G35" s="2" t="inlineStr">
        <is>
          <t>Mensual</t>
        </is>
      </c>
      <c r="H35" s="2" t="inlineStr">
        <is>
          <t>15</t>
        </is>
      </c>
      <c r="I35" s="2" t="inlineStr">
        <is>
          <t>1</t>
        </is>
      </c>
      <c r="J35" s="2" t="inlineStr">
        <is>
          <t>No calcular aun</t>
        </is>
      </c>
      <c r="K35" s="3" t="inlineStr"/>
      <c r="L35" s="2" t="inlineStr"/>
      <c r="M35" s="3" t="inlineStr">
        <is>
          <t>Dia/momento: Dia 13. | Tiempo de origen (planilla Procesos Diarios) sin validar - no usar para calcular horas hasta confirmar con AB/RM | JL confirmo (18/08/2026): es el mismo proceso Chips que el de AB (bloqueo/desbloqueo AXpro/Paradox, jueves) - dos procedimientos de un mismo proceso. Fusion pendiente de hacer en detalle mas adelante. | Renombrado el 18/08/2026: JL confirmo que el jueves de RM se llama 'Configuracion AXPRO', pero estas tareas de facturacion/altas-bajas de chips no calzan obviamente con ese nombre - PENDIENTE confirmar si son lo mismo o si Configuracion AXPRO es otra cosa aparte.</t>
        </is>
      </c>
    </row>
    <row r="36">
      <c r="A36" s="2" t="inlineStr">
        <is>
          <t>Configuracion AXPRO (RM)</t>
        </is>
      </c>
      <c r="B36" s="2" t="inlineStr">
        <is>
          <t>N/A</t>
        </is>
      </c>
      <c r="C36" s="3" t="inlineStr">
        <is>
          <t>Cargar factura Claro M2M</t>
        </is>
      </c>
      <c r="D36" s="3" t="inlineStr">
        <is>
          <t>A completar</t>
        </is>
      </c>
      <c r="E36" s="4" t="inlineStr">
        <is>
          <t>Se hace</t>
        </is>
      </c>
      <c r="F36" s="2" t="inlineStr">
        <is>
          <t>RM</t>
        </is>
      </c>
      <c r="G36" s="2" t="inlineStr">
        <is>
          <t>Mensual</t>
        </is>
      </c>
      <c r="H36" s="2" t="inlineStr">
        <is>
          <t>15</t>
        </is>
      </c>
      <c r="I36" s="2" t="inlineStr">
        <is>
          <t>1</t>
        </is>
      </c>
      <c r="J36" s="2" t="inlineStr">
        <is>
          <t>No calcular aun</t>
        </is>
      </c>
      <c r="K36" s="3" t="inlineStr"/>
      <c r="L36" s="2" t="inlineStr"/>
      <c r="M36" s="3" t="inlineStr">
        <is>
          <t>Dia/momento: Dia 13. | Tiempo de origen (planilla Procesos Diarios) sin validar - no usar para calcular horas hasta confirmar con AB/RM | JL confirmo (18/08/2026): es el mismo proceso Chips que el de AB (bloqueo/desbloqueo AXpro/Paradox, jueves) - dos procedimientos de un mismo proceso. Fusion pendiente de hacer en detalle mas adelante. | Renombrado el 18/08/2026: JL confirmo que el jueves de RM se llama 'Configuracion AXPRO', pero estas tareas de facturacion/altas-bajas de chips no calzan obviamente con ese nombre - PENDIENTE confirmar si son lo mismo o si Configuracion AXPRO es otra cosa aparte.</t>
        </is>
      </c>
    </row>
    <row r="37">
      <c r="A37" s="2" t="inlineStr">
        <is>
          <t>Configuracion AXPRO (RM)</t>
        </is>
      </c>
      <c r="B37" s="2" t="inlineStr">
        <is>
          <t>N/A</t>
        </is>
      </c>
      <c r="C37" s="3" t="inlineStr">
        <is>
          <t>Cargar factura Personal M2M</t>
        </is>
      </c>
      <c r="D37" s="3" t="inlineStr">
        <is>
          <t>A completar</t>
        </is>
      </c>
      <c r="E37" s="4" t="inlineStr">
        <is>
          <t>Se hace</t>
        </is>
      </c>
      <c r="F37" s="2" t="inlineStr">
        <is>
          <t>RM</t>
        </is>
      </c>
      <c r="G37" s="2" t="inlineStr">
        <is>
          <t>Mensual</t>
        </is>
      </c>
      <c r="H37" s="2" t="inlineStr">
        <is>
          <t>15</t>
        </is>
      </c>
      <c r="I37" s="2" t="inlineStr">
        <is>
          <t>1</t>
        </is>
      </c>
      <c r="J37" s="2" t="inlineStr">
        <is>
          <t>No calcular aun</t>
        </is>
      </c>
      <c r="K37" s="3" t="inlineStr"/>
      <c r="L37" s="2" t="inlineStr"/>
      <c r="M37" s="3" t="inlineStr">
        <is>
          <t>Dia/momento: Dia 17. | Tiempo de origen (planilla Procesos Diarios) sin validar - no usar para calcular horas hasta confirmar con AB/RM | JL confirmo (18/08/2026): es el mismo proceso Chips que el de AB (bloqueo/desbloqueo AXpro/Paradox, jueves) - dos procedimientos de un mismo proceso. Fusion pendiente de hacer en detalle mas adelante. | Renombrado el 18/08/2026: JL confirmo que el jueves de RM se llama 'Configuracion AXPRO', pero estas tareas de facturacion/altas-bajas de chips no calzan obviamente con ese nombre - PENDIENTE confirmar si son lo mismo o si Configuracion AXPRO es otra cosa aparte.</t>
        </is>
      </c>
    </row>
    <row r="38">
      <c r="A38" s="2" t="inlineStr">
        <is>
          <t>Configuracion AXPRO (RM)</t>
        </is>
      </c>
      <c r="B38" s="2" t="inlineStr">
        <is>
          <t>N/A</t>
        </is>
      </c>
      <c r="C38" s="3" t="inlineStr">
        <is>
          <t>Cargar factura Claro Jasper</t>
        </is>
      </c>
      <c r="D38" s="3" t="inlineStr">
        <is>
          <t>A completar</t>
        </is>
      </c>
      <c r="E38" s="4" t="inlineStr">
        <is>
          <t>Se hace</t>
        </is>
      </c>
      <c r="F38" s="2" t="inlineStr">
        <is>
          <t>RM</t>
        </is>
      </c>
      <c r="G38" s="2" t="inlineStr">
        <is>
          <t>Mensual</t>
        </is>
      </c>
      <c r="H38" s="2" t="inlineStr">
        <is>
          <t>15</t>
        </is>
      </c>
      <c r="I38" s="2" t="inlineStr">
        <is>
          <t>1</t>
        </is>
      </c>
      <c r="J38" s="2" t="inlineStr">
        <is>
          <t>No calcular aun</t>
        </is>
      </c>
      <c r="K38" s="3" t="inlineStr"/>
      <c r="L38" s="2" t="inlineStr"/>
      <c r="M38" s="3" t="inlineStr">
        <is>
          <t>Dia/momento: Dia 17. | Tiempo de origen (planilla Procesos Diarios) sin validar - no usar para calcular horas hasta confirmar con AB/RM | JL confirmo (18/08/2026): es el mismo proceso Chips que el de AB (bloqueo/desbloqueo AXpro/Paradox, jueves) - dos procedimientos de un mismo proceso. Fusion pendiente de hacer en detalle mas adelante. | Renombrado el 18/08/2026: JL confirmo que el jueves de RM se llama 'Configuracion AXPRO', pero estas tareas de facturacion/altas-bajas de chips no calzan obviamente con ese nombre - PENDIENTE confirmar si son lo mismo o si Configuracion AXPRO es otra cosa aparte.</t>
        </is>
      </c>
    </row>
    <row r="39">
      <c r="A39" s="2" t="inlineStr">
        <is>
          <t>Configuracion AXPRO (RM)</t>
        </is>
      </c>
      <c r="B39" s="2" t="inlineStr">
        <is>
          <t>N/A</t>
        </is>
      </c>
      <c r="C39" s="3" t="inlineStr">
        <is>
          <t>Analisis de factura de chips</t>
        </is>
      </c>
      <c r="D39" s="3" t="inlineStr">
        <is>
          <t>A completar</t>
        </is>
      </c>
      <c r="E39" s="4" t="inlineStr">
        <is>
          <t>Se hace</t>
        </is>
      </c>
      <c r="F39" s="2" t="inlineStr">
        <is>
          <t>RM</t>
        </is>
      </c>
      <c r="G39" s="2" t="inlineStr">
        <is>
          <t>Mensual</t>
        </is>
      </c>
      <c r="H39" s="2" t="inlineStr">
        <is>
          <t>45</t>
        </is>
      </c>
      <c r="I39" s="2" t="inlineStr">
        <is>
          <t>1</t>
        </is>
      </c>
      <c r="J39" s="2" t="inlineStr">
        <is>
          <t>No calcular aun</t>
        </is>
      </c>
      <c r="K39" s="3" t="inlineStr"/>
      <c r="L39" s="2" t="inlineStr"/>
      <c r="M39" s="3" t="inlineStr">
        <is>
          <t>Dia/momento: Dia 17. | Tiempo de origen (planilla Procesos Diarios) sin validar - no usar para calcular horas hasta confirmar con AB/RM | JL confirmo (18/08/2026): es el mismo proceso Chips que el de AB (bloqueo/desbloqueo AXpro/Paradox, jueves) - dos procedimientos de un mismo proceso. Fusion pendiente de hacer en detalle mas adelante. | Renombrado el 18/08/2026: JL confirmo que el jueves de RM se llama 'Configuracion AXPRO', pero estas tareas de facturacion/altas-bajas de chips no calzan obviamente con ese nombre - PENDIENTE confirmar si son lo mismo o si Configuracion AXPRO es otra cosa aparte.</t>
        </is>
      </c>
    </row>
    <row r="40">
      <c r="A40" s="2" t="inlineStr">
        <is>
          <t>Configuracion AXPRO (RM)</t>
        </is>
      </c>
      <c r="B40" s="2" t="inlineStr">
        <is>
          <t>N/A</t>
        </is>
      </c>
      <c r="C40" s="3" t="inlineStr">
        <is>
          <t>Publicar resumen de gastos de chips</t>
        </is>
      </c>
      <c r="D40" s="3" t="inlineStr">
        <is>
          <t>A completar</t>
        </is>
      </c>
      <c r="E40" s="4" t="inlineStr">
        <is>
          <t>Se hace</t>
        </is>
      </c>
      <c r="F40" s="2" t="inlineStr">
        <is>
          <t>RM</t>
        </is>
      </c>
      <c r="G40" s="2" t="inlineStr">
        <is>
          <t>Mensual</t>
        </is>
      </c>
      <c r="H40" s="2" t="inlineStr">
        <is>
          <t>15</t>
        </is>
      </c>
      <c r="I40" s="2" t="inlineStr">
        <is>
          <t>1</t>
        </is>
      </c>
      <c r="J40" s="2" t="inlineStr">
        <is>
          <t>No calcular aun</t>
        </is>
      </c>
      <c r="K40" s="3" t="inlineStr"/>
      <c r="L40" s="2" t="inlineStr"/>
      <c r="M40" s="3" t="inlineStr">
        <is>
          <t>Dia/momento: Dia 17. | Tiempo de origen (planilla Procesos Diarios) sin validar - no usar para calcular horas hasta confirmar con AB/RM | JL confirmo (18/08/2026): es el mismo proceso Chips que el de AB (bloqueo/desbloqueo AXpro/Paradox, jueves) - dos procedimientos de un mismo proceso. Fusion pendiente de hacer en detalle mas adelante. | Renombrado el 18/08/2026: JL confirmo que el jueves de RM se llama 'Configuracion AXPRO', pero estas tareas de facturacion/altas-bajas de chips no calzan obviamente con ese nombre - PENDIENTE confirmar si son lo mismo o si Configuracion AXPRO es otra cosa aparte.</t>
        </is>
      </c>
    </row>
    <row r="41">
      <c r="A41" s="2" t="inlineStr">
        <is>
          <t>Configuracion AXPRO (RM)</t>
        </is>
      </c>
      <c r="B41" s="2" t="inlineStr">
        <is>
          <t>N/A</t>
        </is>
      </c>
      <c r="C41" s="3" t="inlineStr">
        <is>
          <t>Control de chips</t>
        </is>
      </c>
      <c r="D41" s="3" t="inlineStr">
        <is>
          <t>A completar</t>
        </is>
      </c>
      <c r="E41" s="4" t="inlineStr">
        <is>
          <t>Se hace</t>
        </is>
      </c>
      <c r="F41" s="2" t="inlineStr">
        <is>
          <t>RM</t>
        </is>
      </c>
      <c r="G41" s="2" t="inlineStr">
        <is>
          <t>Semanal</t>
        </is>
      </c>
      <c r="H41" s="2" t="inlineStr">
        <is>
          <t>45</t>
        </is>
      </c>
      <c r="I41" s="2" t="inlineStr">
        <is>
          <t>4.33</t>
        </is>
      </c>
      <c r="J41" s="2" t="inlineStr">
        <is>
          <t>No calcular aun</t>
        </is>
      </c>
      <c r="K41" s="3" t="inlineStr"/>
      <c r="L41" s="2" t="inlineStr"/>
      <c r="M41" s="3" t="inlineStr">
        <is>
          <t>Dia/momento: Jueves. | Tiempo de origen (planilla Procesos Diarios) sin validar - no usar para calcular horas hasta confirmar con AB/RM | JL confirmo (18/08/2026): es el mismo proceso Chips que el de AB (bloqueo/desbloqueo AXpro/Paradox, jueves) - dos procedimientos de un mismo proceso. Fusion pendiente de hacer en detalle mas adelante. | Renombrado el 18/08/2026: JL confirmo que el jueves de RM se llama 'Configuracion AXPRO', pero estas tareas de facturacion/altas-bajas de chips no calzan obviamente con ese nombre - PENDIENTE confirmar si son lo mismo o si Configuracion AXPRO es otra cosa aparte.</t>
        </is>
      </c>
    </row>
    <row r="42">
      <c r="A42" s="2" t="inlineStr">
        <is>
          <t>Configuracion AXPRO (RM)</t>
        </is>
      </c>
      <c r="B42" s="2" t="inlineStr">
        <is>
          <t>N/A</t>
        </is>
      </c>
      <c r="C42" s="3" t="inlineStr">
        <is>
          <t>Solicitar baja de chips</t>
        </is>
      </c>
      <c r="D42" s="3" t="inlineStr">
        <is>
          <t>A completar</t>
        </is>
      </c>
      <c r="E42" s="4" t="inlineStr">
        <is>
          <t>Se hace</t>
        </is>
      </c>
      <c r="F42" s="2" t="inlineStr">
        <is>
          <t>RM</t>
        </is>
      </c>
      <c r="G42" s="2" t="inlineStr">
        <is>
          <t>Semanal</t>
        </is>
      </c>
      <c r="H42" s="2" t="inlineStr">
        <is>
          <t>15</t>
        </is>
      </c>
      <c r="I42" s="2" t="inlineStr">
        <is>
          <t>4.33</t>
        </is>
      </c>
      <c r="J42" s="2" t="inlineStr">
        <is>
          <t>No calcular aun</t>
        </is>
      </c>
      <c r="K42" s="3" t="inlineStr"/>
      <c r="L42" s="2" t="inlineStr"/>
      <c r="M42" s="3" t="inlineStr">
        <is>
          <t>Dia/momento: Viernes. | Tiempo de origen (planilla Procesos Diarios) sin validar - no usar para calcular horas hasta confirmar con AB/RM | JL confirmo (18/08/2026): es el mismo proceso Chips que el de AB (bloqueo/desbloqueo AXpro/Paradox, jueves) - dos procedimientos de un mismo proceso. Fusion pendiente de hacer en detalle mas adelante. | Renombrado el 18/08/2026: JL confirmo que el jueves de RM se llama 'Configuracion AXPRO', pero estas tareas de facturacion/altas-bajas de chips no calzan obviamente con ese nombre - PENDIENTE confirmar si son lo mismo o si Configuracion AXPRO es otra cosa aparte.</t>
        </is>
      </c>
    </row>
    <row r="43">
      <c r="A43" s="2" t="inlineStr">
        <is>
          <t>Configuracion AXPRO (RM)</t>
        </is>
      </c>
      <c r="B43" s="2" t="inlineStr">
        <is>
          <t>N/A</t>
        </is>
      </c>
      <c r="C43" s="3" t="inlineStr">
        <is>
          <t>Recupero de chips</t>
        </is>
      </c>
      <c r="D43" s="3" t="inlineStr">
        <is>
          <t>A completar</t>
        </is>
      </c>
      <c r="E43" s="4" t="inlineStr">
        <is>
          <t>Se hace</t>
        </is>
      </c>
      <c r="F43" s="2" t="inlineStr">
        <is>
          <t>RM</t>
        </is>
      </c>
      <c r="G43" s="2" t="inlineStr">
        <is>
          <t>Semanal</t>
        </is>
      </c>
      <c r="H43" s="2" t="inlineStr">
        <is>
          <t>15</t>
        </is>
      </c>
      <c r="I43" s="2" t="inlineStr">
        <is>
          <t>4.33</t>
        </is>
      </c>
      <c r="J43" s="2" t="inlineStr">
        <is>
          <t>No calcular aun</t>
        </is>
      </c>
      <c r="K43" s="3" t="inlineStr"/>
      <c r="L43" s="2" t="inlineStr"/>
      <c r="M43" s="3" t="inlineStr">
        <is>
          <t>Dia/momento: Jueves. | Tiempo de origen (planilla Procesos Diarios) sin validar - no usar para calcular horas hasta confirmar con AB/RM | JL confirmo (18/08/2026): es el mismo proceso Chips que el de AB (bloqueo/desbloqueo AXpro/Paradox, jueves) - dos procedimientos de un mismo proceso. Fusion pendiente de hacer en detalle mas adelante. | Renombrado el 18/08/2026: JL confirmo que el jueves de RM se llama 'Configuracion AXPRO', pero estas tareas de facturacion/altas-bajas de chips no calzan obviamente con ese nombre - PENDIENTE confirmar si son lo mismo o si Configuracion AXPRO es otra cosa aparte.</t>
        </is>
      </c>
    </row>
    <row r="44">
      <c r="A44" s="2" t="inlineStr">
        <is>
          <t>Configuracion AXPRO (RM)</t>
        </is>
      </c>
      <c r="B44" s="2" t="inlineStr">
        <is>
          <t>N/A</t>
        </is>
      </c>
      <c r="C44" s="3" t="inlineStr">
        <is>
          <t>Activar chips (altas de lineas moviles)</t>
        </is>
      </c>
      <c r="D44" s="3" t="inlineStr">
        <is>
          <t>A completar</t>
        </is>
      </c>
      <c r="E44" s="4" t="inlineStr">
        <is>
          <t>Se hace</t>
        </is>
      </c>
      <c r="F44" s="2" t="inlineStr">
        <is>
          <t>RM</t>
        </is>
      </c>
      <c r="G44" s="2" t="inlineStr">
        <is>
          <t>Semanal</t>
        </is>
      </c>
      <c r="H44" s="2" t="inlineStr">
        <is>
          <t>15</t>
        </is>
      </c>
      <c r="I44" s="2" t="inlineStr">
        <is>
          <t>4.33</t>
        </is>
      </c>
      <c r="J44" s="2" t="inlineStr">
        <is>
          <t>No calcular aun</t>
        </is>
      </c>
      <c r="K44" s="3" t="inlineStr"/>
      <c r="L44" s="2" t="inlineStr"/>
      <c r="M44" s="3" t="inlineStr">
        <is>
          <t>Dia/momento: Jueves. | Tiempo de origen (planilla Procesos Diarios) sin validar - no usar para calcular horas hasta confirmar con AB/RM | JL confirmo (18/08/2026): es el mismo proceso Chips que el de AB (bloqueo/desbloqueo AXpro/Paradox, jueves) - dos procedimientos de un mismo proceso. Fusion pendiente de hacer en detalle mas adelante. | Renombrado el 18/08/2026: JL confirmo que el jueves de RM se llama 'Configuracion AXPRO', pero estas tareas de facturacion/altas-bajas de chips no calzan obviamente con ese nombre - PENDIENTE confirmar si son lo mismo o si Configuracion AXPRO es otra cosa aparte.</t>
        </is>
      </c>
    </row>
    <row r="45">
      <c r="A45" s="2" t="inlineStr">
        <is>
          <t>Remoto de Equipos (REE)</t>
        </is>
      </c>
      <c r="B45" s="2" t="inlineStr">
        <is>
          <t>REE</t>
        </is>
      </c>
      <c r="C45" s="3" t="inlineStr">
        <is>
          <t>Carga de REE en Manager2GO</t>
        </is>
      </c>
      <c r="D45" s="3" t="inlineStr">
        <is>
          <t>A completar</t>
        </is>
      </c>
      <c r="E45" s="4" t="inlineStr">
        <is>
          <t>Se hace</t>
        </is>
      </c>
      <c r="F45" s="2" t="inlineStr">
        <is>
          <t>RM</t>
        </is>
      </c>
      <c r="G45" s="2" t="inlineStr">
        <is>
          <t>Semanal</t>
        </is>
      </c>
      <c r="H45" s="2" t="inlineStr">
        <is>
          <t>360</t>
        </is>
      </c>
      <c r="I45" s="2" t="inlineStr">
        <is>
          <t>4.33</t>
        </is>
      </c>
      <c r="J45" s="2" t="inlineStr">
        <is>
          <t>No calcular aun</t>
        </is>
      </c>
      <c r="K45" s="3" t="inlineStr"/>
      <c r="L45" s="2" t="inlineStr"/>
      <c r="M45" s="3" t="inlineStr">
        <is>
          <t>Dia/momento: Miercoles. | Tiempo de origen (planilla Procesos Diarios) sin validar - no usar para calcular horas hasta confirmar con AB/RM</t>
        </is>
      </c>
    </row>
    <row r="46">
      <c r="A46" s="2" t="inlineStr">
        <is>
          <t>Remoto de Equipos (REE)</t>
        </is>
      </c>
      <c r="B46" s="2" t="inlineStr">
        <is>
          <t>REE</t>
        </is>
      </c>
      <c r="C46" s="3" t="inlineStr">
        <is>
          <t>Carga de chips en REE</t>
        </is>
      </c>
      <c r="D46" s="3" t="inlineStr">
        <is>
          <t>A completar</t>
        </is>
      </c>
      <c r="E46" s="4" t="inlineStr">
        <is>
          <t>Se hace</t>
        </is>
      </c>
      <c r="F46" s="2" t="inlineStr">
        <is>
          <t>RM</t>
        </is>
      </c>
      <c r="G46" s="2" t="inlineStr">
        <is>
          <t>Semanal</t>
        </is>
      </c>
      <c r="H46" s="2" t="inlineStr">
        <is>
          <t>A confirmar</t>
        </is>
      </c>
      <c r="I46" s="2" t="inlineStr">
        <is>
          <t>4.33</t>
        </is>
      </c>
      <c r="J46" s="2" t="inlineStr">
        <is>
          <t>A confirmar</t>
        </is>
      </c>
      <c r="K46" s="3" t="inlineStr"/>
      <c r="L46" s="2" t="inlineStr"/>
      <c r="M46" s="3" t="inlineStr">
        <is>
          <t>Dia/momento: Miercoles. Tiempo no relevado en el PDF - confirmar</t>
        </is>
      </c>
    </row>
    <row r="47">
      <c r="A47" s="2" t="inlineStr">
        <is>
          <t>Remoto de Equipos (REE)</t>
        </is>
      </c>
      <c r="B47" s="2" t="inlineStr">
        <is>
          <t>REE</t>
        </is>
      </c>
      <c r="C47" s="3" t="inlineStr">
        <is>
          <t>Carga de baterias en REE</t>
        </is>
      </c>
      <c r="D47" s="3" t="inlineStr">
        <is>
          <t>A completar</t>
        </is>
      </c>
      <c r="E47" s="4" t="inlineStr">
        <is>
          <t>Se hace</t>
        </is>
      </c>
      <c r="F47" s="2" t="inlineStr">
        <is>
          <t>RM</t>
        </is>
      </c>
      <c r="G47" s="2" t="inlineStr">
        <is>
          <t>Semanal</t>
        </is>
      </c>
      <c r="H47" s="2" t="inlineStr">
        <is>
          <t>A confirmar</t>
        </is>
      </c>
      <c r="I47" s="2" t="inlineStr">
        <is>
          <t>4.33</t>
        </is>
      </c>
      <c r="J47" s="2" t="inlineStr">
        <is>
          <t>A confirmar</t>
        </is>
      </c>
      <c r="K47" s="3" t="inlineStr"/>
      <c r="L47" s="2" t="inlineStr"/>
      <c r="M47" s="3" t="inlineStr">
        <is>
          <t>Dia/momento: Miercoles. Tiempo no relevado en el PDF - confirmar</t>
        </is>
      </c>
    </row>
    <row r="48">
      <c r="A48" s="2" t="inlineStr">
        <is>
          <t>Remoto de Equipos (REE)</t>
        </is>
      </c>
      <c r="B48" s="2" t="inlineStr">
        <is>
          <t>REE</t>
        </is>
      </c>
      <c r="C48" s="3" t="inlineStr">
        <is>
          <t>Pasar REE a carpeta 3</t>
        </is>
      </c>
      <c r="D48" s="3" t="inlineStr">
        <is>
          <t>A completar</t>
        </is>
      </c>
      <c r="E48" s="4" t="inlineStr">
        <is>
          <t>Se hace</t>
        </is>
      </c>
      <c r="F48" s="2" t="inlineStr">
        <is>
          <t>RM</t>
        </is>
      </c>
      <c r="G48" s="2" t="inlineStr">
        <is>
          <t>Semanal</t>
        </is>
      </c>
      <c r="H48" s="2" t="inlineStr">
        <is>
          <t>360</t>
        </is>
      </c>
      <c r="I48" s="2" t="inlineStr">
        <is>
          <t>4.33</t>
        </is>
      </c>
      <c r="J48" s="2" t="inlineStr">
        <is>
          <t>No calcular aun</t>
        </is>
      </c>
      <c r="K48" s="3" t="inlineStr"/>
      <c r="L48" s="2" t="inlineStr"/>
      <c r="M48" s="3" t="inlineStr">
        <is>
          <t>Dia/momento: Miercoles. | Tiempo de origen (planilla Procesos Diarios) sin validar - no usar para calcular horas hasta confirmar con AB/RM</t>
        </is>
      </c>
    </row>
    <row r="49">
      <c r="A49" s="2" t="inlineStr">
        <is>
          <t>Remoto de Equipos (REE)</t>
        </is>
      </c>
      <c r="B49" s="2" t="inlineStr">
        <is>
          <t>REE</t>
        </is>
      </c>
      <c r="C49" s="3" t="inlineStr">
        <is>
          <t>Entrega de REE a Administracion</t>
        </is>
      </c>
      <c r="D49" s="3" t="inlineStr">
        <is>
          <t>A completar</t>
        </is>
      </c>
      <c r="E49" s="4" t="inlineStr">
        <is>
          <t>Se hace</t>
        </is>
      </c>
      <c r="F49" s="2" t="inlineStr">
        <is>
          <t>RM</t>
        </is>
      </c>
      <c r="G49" s="2" t="inlineStr">
        <is>
          <t>Semanal</t>
        </is>
      </c>
      <c r="H49" s="2" t="inlineStr">
        <is>
          <t>25</t>
        </is>
      </c>
      <c r="I49" s="2" t="inlineStr">
        <is>
          <t>4.33</t>
        </is>
      </c>
      <c r="J49" s="2" t="inlineStr">
        <is>
          <t>No calcular aun</t>
        </is>
      </c>
      <c r="K49" s="3" t="inlineStr"/>
      <c r="L49" s="2" t="inlineStr"/>
      <c r="M49" s="3" t="inlineStr">
        <is>
          <t>Dia/momento: Jueves. | Tiempo de origen (planilla Procesos Diarios) sin validar - no usar para calcular horas hasta confirmar con AB/RM</t>
        </is>
      </c>
    </row>
    <row r="50">
      <c r="A50" s="2" t="inlineStr">
        <is>
          <t>Remoto de Equipos (REE)</t>
        </is>
      </c>
      <c r="B50" s="2" t="inlineStr">
        <is>
          <t>REE</t>
        </is>
      </c>
      <c r="C50" s="3" t="inlineStr">
        <is>
          <t>Adjuntar facturas a remito Manager2</t>
        </is>
      </c>
      <c r="D50" s="3" t="inlineStr">
        <is>
          <t>A completar</t>
        </is>
      </c>
      <c r="E50" s="4" t="inlineStr">
        <is>
          <t>Se hace</t>
        </is>
      </c>
      <c r="F50" s="2" t="inlineStr">
        <is>
          <t>RM</t>
        </is>
      </c>
      <c r="G50" s="2" t="inlineStr">
        <is>
          <t>Semanal</t>
        </is>
      </c>
      <c r="H50" s="2" t="inlineStr">
        <is>
          <t>30</t>
        </is>
      </c>
      <c r="I50" s="2" t="inlineStr">
        <is>
          <t>4.33</t>
        </is>
      </c>
      <c r="J50" s="2" t="inlineStr">
        <is>
          <t>No calcular aun</t>
        </is>
      </c>
      <c r="K50" s="3" t="inlineStr"/>
      <c r="L50" s="2" t="inlineStr"/>
      <c r="M50" s="3" t="inlineStr">
        <is>
          <t>Dia/momento: Jueves. | Tiempo de origen (planilla Procesos Diarios) sin validar - no usar para calcular horas hasta confirmar con AB/RM</t>
        </is>
      </c>
    </row>
    <row r="51">
      <c r="A51" s="2" t="inlineStr">
        <is>
          <t>Gestion de Flota (RM)</t>
        </is>
      </c>
      <c r="B51" s="2" t="inlineStr">
        <is>
          <t>N/A</t>
        </is>
      </c>
      <c r="C51" s="3" t="inlineStr">
        <is>
          <t>Control ITV vehiculo AF061RG</t>
        </is>
      </c>
      <c r="D51" s="3" t="inlineStr">
        <is>
          <t>A completar</t>
        </is>
      </c>
      <c r="E51" s="4" t="inlineStr">
        <is>
          <t>Se hace</t>
        </is>
      </c>
      <c r="F51" s="2" t="inlineStr">
        <is>
          <t>RM</t>
        </is>
      </c>
      <c r="G51" s="2" t="inlineStr">
        <is>
          <t>Semestral</t>
        </is>
      </c>
      <c r="H51" s="2" t="inlineStr">
        <is>
          <t>5</t>
        </is>
      </c>
      <c r="I51" s="2" t="inlineStr">
        <is>
          <t>0.17</t>
        </is>
      </c>
      <c r="J51" s="2" t="inlineStr">
        <is>
          <t>No calcular aun</t>
        </is>
      </c>
      <c r="K51" s="3" t="inlineStr"/>
      <c r="L51" s="2" t="inlineStr"/>
      <c r="M51" s="3" t="inlineStr">
        <is>
          <t>Dia/momento: Nov/May. | Tiempo de origen (planilla Procesos Diarios) sin validar - no usar para calcular horas hasta confirmar con AB/RM</t>
        </is>
      </c>
    </row>
    <row r="52">
      <c r="A52" s="2" t="inlineStr">
        <is>
          <t>Gestion de Flota (RM)</t>
        </is>
      </c>
      <c r="B52" s="2" t="inlineStr">
        <is>
          <t>N/A</t>
        </is>
      </c>
      <c r="C52" s="3" t="inlineStr">
        <is>
          <t>Control impuestos vehiculo AF061RG</t>
        </is>
      </c>
      <c r="D52" s="3" t="inlineStr">
        <is>
          <t>A completar</t>
        </is>
      </c>
      <c r="E52" s="4" t="inlineStr">
        <is>
          <t>Se hace</t>
        </is>
      </c>
      <c r="F52" s="2" t="inlineStr">
        <is>
          <t>RM</t>
        </is>
      </c>
      <c r="G52" s="2" t="inlineStr">
        <is>
          <t>Semestral</t>
        </is>
      </c>
      <c r="H52" s="2" t="inlineStr">
        <is>
          <t>5</t>
        </is>
      </c>
      <c r="I52" s="2" t="inlineStr">
        <is>
          <t>0.17</t>
        </is>
      </c>
      <c r="J52" s="2" t="inlineStr">
        <is>
          <t>No calcular aun</t>
        </is>
      </c>
      <c r="K52" s="3" t="inlineStr"/>
      <c r="L52" s="2" t="inlineStr"/>
      <c r="M52" s="3" t="inlineStr">
        <is>
          <t>Dia/momento: Nov/May. | Tiempo de origen (planilla Procesos Diarios) sin validar - no usar para calcular horas hasta confirmar con AB/RM</t>
        </is>
      </c>
    </row>
    <row r="53">
      <c r="A53" s="2" t="inlineStr">
        <is>
          <t>Gestion de Flota (RM)</t>
        </is>
      </c>
      <c r="B53" s="2" t="inlineStr">
        <is>
          <t>N/A</t>
        </is>
      </c>
      <c r="C53" s="3" t="inlineStr">
        <is>
          <t>Control ITV vehiculo AC921LR</t>
        </is>
      </c>
      <c r="D53" s="3" t="inlineStr">
        <is>
          <t>A completar</t>
        </is>
      </c>
      <c r="E53" s="4" t="inlineStr">
        <is>
          <t>Se hace</t>
        </is>
      </c>
      <c r="F53" s="2" t="inlineStr">
        <is>
          <t>RM</t>
        </is>
      </c>
      <c r="G53" s="2" t="inlineStr">
        <is>
          <t>Semestral</t>
        </is>
      </c>
      <c r="H53" s="2" t="inlineStr">
        <is>
          <t>5</t>
        </is>
      </c>
      <c r="I53" s="2" t="inlineStr">
        <is>
          <t>0.17</t>
        </is>
      </c>
      <c r="J53" s="2" t="inlineStr">
        <is>
          <t>No calcular aun</t>
        </is>
      </c>
      <c r="K53" s="3" t="inlineStr"/>
      <c r="L53" s="2" t="inlineStr"/>
      <c r="M53" s="3" t="inlineStr">
        <is>
          <t>Dia/momento: Nov/May. | Tiempo de origen (planilla Procesos Diarios) sin validar - no usar para calcular horas hasta confirmar con AB/RM</t>
        </is>
      </c>
    </row>
    <row r="54">
      <c r="A54" s="2" t="inlineStr">
        <is>
          <t>Gestion de Flota (RM)</t>
        </is>
      </c>
      <c r="B54" s="2" t="inlineStr">
        <is>
          <t>N/A</t>
        </is>
      </c>
      <c r="C54" s="3" t="inlineStr">
        <is>
          <t>Control impuestos vehiculo AC921LR</t>
        </is>
      </c>
      <c r="D54" s="3" t="inlineStr">
        <is>
          <t>A completar</t>
        </is>
      </c>
      <c r="E54" s="4" t="inlineStr">
        <is>
          <t>Se hace</t>
        </is>
      </c>
      <c r="F54" s="2" t="inlineStr">
        <is>
          <t>RM</t>
        </is>
      </c>
      <c r="G54" s="2" t="inlineStr">
        <is>
          <t>Semestral</t>
        </is>
      </c>
      <c r="H54" s="2" t="inlineStr">
        <is>
          <t>5</t>
        </is>
      </c>
      <c r="I54" s="2" t="inlineStr">
        <is>
          <t>0.17</t>
        </is>
      </c>
      <c r="J54" s="2" t="inlineStr">
        <is>
          <t>No calcular aun</t>
        </is>
      </c>
      <c r="K54" s="3" t="inlineStr"/>
      <c r="L54" s="2" t="inlineStr"/>
      <c r="M54" s="3" t="inlineStr">
        <is>
          <t>Dia/momento: Nov/May. | Tiempo de origen (planilla Procesos Diarios) sin validar - no usar para calcular horas hasta confirmar con AB/RM</t>
        </is>
      </c>
    </row>
    <row r="55">
      <c r="A55" s="2" t="inlineStr">
        <is>
          <t>TOP10</t>
        </is>
      </c>
      <c r="B55" s="2" t="inlineStr">
        <is>
          <t>Elaboracion y envio del informe semanal TOP10</t>
        </is>
      </c>
      <c r="C55" s="3" t="inlineStr">
        <is>
          <t>Actualizar Base de Datos de clientes (previo al informe)</t>
        </is>
      </c>
      <c r="D55" s="3" t="inlineStr">
        <is>
          <t>A completar</t>
        </is>
      </c>
      <c r="E55" s="4" t="inlineStr">
        <is>
          <t>Se hace</t>
        </is>
      </c>
      <c r="F55" s="2" t="inlineStr">
        <is>
          <t>RM</t>
        </is>
      </c>
      <c r="G55" s="2" t="inlineStr">
        <is>
          <t>Semanal</t>
        </is>
      </c>
      <c r="H55" s="2" t="inlineStr">
        <is>
          <t>A confirmar</t>
        </is>
      </c>
      <c r="I55" s="2" t="inlineStr">
        <is>
          <t>4.33</t>
        </is>
      </c>
      <c r="J55" s="2" t="inlineStr">
        <is>
          <t>A confirmar</t>
        </is>
      </c>
      <c r="K55" s="3" t="inlineStr"/>
      <c r="L55" s="2" t="inlineStr"/>
      <c r="M55" s="3" t="inlineStr">
        <is>
          <t>Dia/momento: Lunes. Tiempo no relevado en el PDF - confirmar</t>
        </is>
      </c>
    </row>
    <row r="56">
      <c r="A56" s="2" t="inlineStr">
        <is>
          <t>Preparacion y Directivas de ST (RM)</t>
        </is>
      </c>
      <c r="B56" s="2" t="inlineStr">
        <is>
          <t>N/A</t>
        </is>
      </c>
      <c r="C56" s="3" t="inlineStr">
        <is>
          <t>Preparacion de equipos (ST)</t>
        </is>
      </c>
      <c r="D56" s="3" t="inlineStr">
        <is>
          <t>A completar</t>
        </is>
      </c>
      <c r="E56" s="4" t="inlineStr">
        <is>
          <t>Se hace</t>
        </is>
      </c>
      <c r="F56" s="2" t="inlineStr">
        <is>
          <t>RM</t>
        </is>
      </c>
      <c r="G56" s="2" t="inlineStr">
        <is>
          <t>Diario</t>
        </is>
      </c>
      <c r="H56" s="2" t="inlineStr">
        <is>
          <t>A confirmar</t>
        </is>
      </c>
      <c r="I56" s="2" t="inlineStr">
        <is>
          <t>22</t>
        </is>
      </c>
      <c r="J56" s="2" t="inlineStr">
        <is>
          <t>A confirmar</t>
        </is>
      </c>
      <c r="K56" s="3" t="inlineStr"/>
      <c r="L56" s="2" t="inlineStr"/>
      <c r="M56" s="3" t="inlineStr">
        <is>
          <t>Tiempo no relevado en el PDF - confirmar</t>
        </is>
      </c>
    </row>
    <row r="57">
      <c r="A57" s="2" t="inlineStr">
        <is>
          <t>Preparacion y Directivas de ST (RM)</t>
        </is>
      </c>
      <c r="B57" s="2" t="inlineStr">
        <is>
          <t>N/A</t>
        </is>
      </c>
      <c r="C57" s="3" t="inlineStr">
        <is>
          <t>Carga de directivas tecnicas</t>
        </is>
      </c>
      <c r="D57" s="3" t="inlineStr">
        <is>
          <t>A completar</t>
        </is>
      </c>
      <c r="E57" s="4" t="inlineStr">
        <is>
          <t>Se hace</t>
        </is>
      </c>
      <c r="F57" s="2" t="inlineStr">
        <is>
          <t>RM</t>
        </is>
      </c>
      <c r="G57" s="2" t="inlineStr">
        <is>
          <t>Semanal</t>
        </is>
      </c>
      <c r="H57" s="2" t="inlineStr">
        <is>
          <t>A confirmar</t>
        </is>
      </c>
      <c r="I57" s="2" t="inlineStr">
        <is>
          <t>4.33</t>
        </is>
      </c>
      <c r="J57" s="2" t="inlineStr">
        <is>
          <t>A confirmar</t>
        </is>
      </c>
      <c r="K57" s="3" t="inlineStr"/>
      <c r="L57" s="2" t="inlineStr"/>
      <c r="M57" s="3" t="inlineStr">
        <is>
          <t>Dia/momento: Lunes. Tiempo no relevado en el PDF - confirmar</t>
        </is>
      </c>
    </row>
    <row r="58">
      <c r="A58" s="2" t="inlineStr">
        <is>
          <t>Preparacion y Directivas de ST (RM)</t>
        </is>
      </c>
      <c r="B58" s="2" t="inlineStr">
        <is>
          <t>N/A</t>
        </is>
      </c>
      <c r="C58" s="3" t="inlineStr">
        <is>
          <t>Entrega de directiva a Administracion</t>
        </is>
      </c>
      <c r="D58" s="3" t="inlineStr">
        <is>
          <t>A completar</t>
        </is>
      </c>
      <c r="E58" s="4" t="inlineStr">
        <is>
          <t>Se hace</t>
        </is>
      </c>
      <c r="F58" s="2" t="inlineStr">
        <is>
          <t>RM</t>
        </is>
      </c>
      <c r="G58" s="2" t="inlineStr">
        <is>
          <t>Semanal</t>
        </is>
      </c>
      <c r="H58" s="2" t="inlineStr">
        <is>
          <t>15</t>
        </is>
      </c>
      <c r="I58" s="2" t="inlineStr">
        <is>
          <t>4.33</t>
        </is>
      </c>
      <c r="J58" s="2" t="inlineStr">
        <is>
          <t>No calcular aun</t>
        </is>
      </c>
      <c r="K58" s="3" t="inlineStr"/>
      <c r="L58" s="2" t="inlineStr"/>
      <c r="M58" s="3" t="inlineStr">
        <is>
          <t>Dia/momento: Miercoles. | Tiempo de origen (planilla Procesos Diarios) sin validar - no usar para calcular horas hasta confirmar con AB/RM</t>
        </is>
      </c>
    </row>
    <row r="59">
      <c r="A59" s="2" t="inlineStr">
        <is>
          <t>Preparacion y Directivas de ST (RM)</t>
        </is>
      </c>
      <c r="B59" s="2" t="inlineStr">
        <is>
          <t>N/A</t>
        </is>
      </c>
      <c r="C59" s="3" t="inlineStr">
        <is>
          <t>Control de buen estado receptoras IPR512 (R-11)</t>
        </is>
      </c>
      <c r="D59" s="3" t="inlineStr">
        <is>
          <t>A completar</t>
        </is>
      </c>
      <c r="E59" s="4" t="inlineStr">
        <is>
          <t>Se hace</t>
        </is>
      </c>
      <c r="F59" s="2" t="inlineStr">
        <is>
          <t>RM</t>
        </is>
      </c>
      <c r="G59" s="2" t="inlineStr">
        <is>
          <t>Diario</t>
        </is>
      </c>
      <c r="H59" s="2" t="inlineStr">
        <is>
          <t>A confirmar</t>
        </is>
      </c>
      <c r="I59" s="2" t="inlineStr">
        <is>
          <t>22</t>
        </is>
      </c>
      <c r="J59" s="2" t="inlineStr">
        <is>
          <t>A confirmar</t>
        </is>
      </c>
      <c r="K59" s="3" t="inlineStr"/>
      <c r="L59" s="2" t="inlineStr"/>
      <c r="M59" s="3" t="inlineStr">
        <is>
          <t>Tiempo no relevado en el PDF - confirmar</t>
        </is>
      </c>
    </row>
    <row r="60">
      <c r="A60" s="2" t="inlineStr">
        <is>
          <t>Preparacion y Directivas de ST (RM)</t>
        </is>
      </c>
      <c r="B60" s="2" t="inlineStr">
        <is>
          <t>N/A</t>
        </is>
      </c>
      <c r="C60" s="3" t="inlineStr">
        <is>
          <t>Mandar mensajes a AVATEC 02</t>
        </is>
      </c>
      <c r="D60" s="3" t="inlineStr">
        <is>
          <t>A completar</t>
        </is>
      </c>
      <c r="E60" s="4" t="inlineStr">
        <is>
          <t>Se hace</t>
        </is>
      </c>
      <c r="F60" s="2" t="inlineStr">
        <is>
          <t>RM</t>
        </is>
      </c>
      <c r="G60" s="2" t="inlineStr">
        <is>
          <t>Diario</t>
        </is>
      </c>
      <c r="H60" s="2" t="inlineStr">
        <is>
          <t>A confirmar</t>
        </is>
      </c>
      <c r="I60" s="2" t="inlineStr">
        <is>
          <t>22</t>
        </is>
      </c>
      <c r="J60" s="2" t="inlineStr">
        <is>
          <t>A confirmar</t>
        </is>
      </c>
      <c r="K60" s="3" t="inlineStr"/>
      <c r="L60" s="2" t="inlineStr"/>
      <c r="M60" s="3" t="inlineStr">
        <is>
          <t>Tiempo no relevado en el PDF - confirmar</t>
        </is>
      </c>
    </row>
    <row r="61">
      <c r="A61" s="2" t="inlineStr">
        <is>
          <t>Tareas Reactivas (Interrupciones)</t>
        </is>
      </c>
      <c r="B61" s="2" t="inlineStr">
        <is>
          <t>N/A</t>
        </is>
      </c>
      <c r="C61" s="3" t="inlineStr">
        <is>
          <t>Coordinar instalaciones NCS</t>
        </is>
      </c>
      <c r="D61" s="3" t="inlineStr">
        <is>
          <t>A completar</t>
        </is>
      </c>
      <c r="E61" s="4" t="inlineStr">
        <is>
          <t>Se hace</t>
        </is>
      </c>
      <c r="F61" s="2" t="inlineStr">
        <is>
          <t>AB</t>
        </is>
      </c>
      <c r="G61" s="2" t="inlineStr">
        <is>
          <t>Semanal</t>
        </is>
      </c>
      <c r="H61" s="2" t="inlineStr">
        <is>
          <t>5</t>
        </is>
      </c>
      <c r="I61" s="2" t="inlineStr">
        <is>
          <t>4.33</t>
        </is>
      </c>
      <c r="J61" s="2" t="inlineStr">
        <is>
          <t>No calcular aun</t>
        </is>
      </c>
      <c r="K61" s="3" t="inlineStr"/>
      <c r="L61" s="2" t="inlineStr"/>
      <c r="M61" s="3" t="inlineStr">
        <is>
          <t>Dia/momento: Interrupcion. | Tiempo de origen (planilla Procesos Diarios) sin validar - no usar para calcular horas hasta confirmar con AB/RM</t>
        </is>
      </c>
    </row>
    <row r="62">
      <c r="A62" s="2" t="inlineStr">
        <is>
          <t>Tareas Reactivas (Interrupciones)</t>
        </is>
      </c>
      <c r="B62" s="2" t="inlineStr">
        <is>
          <t>N/A</t>
        </is>
      </c>
      <c r="C62" s="3" t="inlineStr">
        <is>
          <t>Responder informes de Monitoreo</t>
        </is>
      </c>
      <c r="D62" s="3" t="inlineStr">
        <is>
          <t>A completar</t>
        </is>
      </c>
      <c r="E62" s="4" t="inlineStr">
        <is>
          <t>Se hace</t>
        </is>
      </c>
      <c r="F62" s="2" t="inlineStr">
        <is>
          <t>RM</t>
        </is>
      </c>
      <c r="G62" s="2" t="inlineStr">
        <is>
          <t>IntraDiario</t>
        </is>
      </c>
      <c r="H62" s="2" t="inlineStr">
        <is>
          <t>60</t>
        </is>
      </c>
      <c r="I62" s="2" t="inlineStr">
        <is>
          <t>22</t>
        </is>
      </c>
      <c r="J62" s="2" t="inlineStr">
        <is>
          <t>No calcular aun</t>
        </is>
      </c>
      <c r="K62" s="3" t="inlineStr"/>
      <c r="L62" s="2" t="inlineStr"/>
      <c r="M62" s="3" t="inlineStr">
        <is>
          <t>Dia/momento: Interrupcion. | Tiempo de origen (planilla Procesos Diarios) sin validar - no usar para calcular horas hasta confirmar con AB/RM</t>
        </is>
      </c>
    </row>
    <row r="63">
      <c r="A63" s="2" t="inlineStr">
        <is>
          <t>Tareas Reactivas (Interrupciones)</t>
        </is>
      </c>
      <c r="B63" s="2" t="inlineStr">
        <is>
          <t>N/A</t>
        </is>
      </c>
      <c r="C63" s="3" t="inlineStr">
        <is>
          <t>Responder informes de Pvillarreal (CM)</t>
        </is>
      </c>
      <c r="D63" s="3" t="inlineStr">
        <is>
          <t>A completar</t>
        </is>
      </c>
      <c r="E63" s="4" t="inlineStr">
        <is>
          <t>Se hace</t>
        </is>
      </c>
      <c r="F63" s="2" t="inlineStr">
        <is>
          <t>RM</t>
        </is>
      </c>
      <c r="G63" s="2" t="inlineStr">
        <is>
          <t>IntraDiario</t>
        </is>
      </c>
      <c r="H63" s="2" t="inlineStr">
        <is>
          <t>A confirmar</t>
        </is>
      </c>
      <c r="I63" s="2" t="inlineStr">
        <is>
          <t>22</t>
        </is>
      </c>
      <c r="J63" s="2" t="inlineStr">
        <is>
          <t>A confirmar</t>
        </is>
      </c>
      <c r="K63" s="3" t="inlineStr"/>
      <c r="L63" s="2" t="inlineStr"/>
      <c r="M63" s="3" t="inlineStr">
        <is>
          <t>Dia/momento: Interrupcion. Tiempo no relevado en el PDF - confirmar</t>
        </is>
      </c>
    </row>
    <row r="64">
      <c r="A64" s="2" t="inlineStr">
        <is>
          <t>Tareas Reactivas (Interrupciones)</t>
        </is>
      </c>
      <c r="B64" s="2" t="inlineStr">
        <is>
          <t>N/A</t>
        </is>
      </c>
      <c r="C64" s="3" t="inlineStr">
        <is>
          <t>Guardar y etiquetar stock que ingresa fuera de horario</t>
        </is>
      </c>
      <c r="D64" s="3" t="inlineStr">
        <is>
          <t>A completar</t>
        </is>
      </c>
      <c r="E64" s="4" t="inlineStr">
        <is>
          <t>Se hace</t>
        </is>
      </c>
      <c r="F64" s="2" t="inlineStr">
        <is>
          <t>RM</t>
        </is>
      </c>
      <c r="G64" s="2" t="inlineStr">
        <is>
          <t>Quincenal</t>
        </is>
      </c>
      <c r="H64" s="2" t="inlineStr">
        <is>
          <t>120</t>
        </is>
      </c>
      <c r="I64" s="2" t="inlineStr">
        <is>
          <t>2</t>
        </is>
      </c>
      <c r="J64" s="2" t="inlineStr">
        <is>
          <t>No calcular aun</t>
        </is>
      </c>
      <c r="K64" s="3" t="inlineStr"/>
      <c r="L64" s="2" t="inlineStr"/>
      <c r="M64" s="3" t="inlineStr">
        <is>
          <t>Dia/momento: Interrupcion. | Tiempo de origen (planilla Procesos Diarios) sin validar - no usar para calcular horas hasta confirmar con AB/RM</t>
        </is>
      </c>
    </row>
    <row r="65">
      <c r="A65" s="2" t="inlineStr">
        <is>
          <t>Tareas Reactivas (Interrupciones)</t>
        </is>
      </c>
      <c r="B65" s="2" t="inlineStr">
        <is>
          <t>N/A</t>
        </is>
      </c>
      <c r="C65" s="3" t="inlineStr">
        <is>
          <t>Recibir devolucion de instalacion (LM)</t>
        </is>
      </c>
      <c r="D65" s="3" t="inlineStr">
        <is>
          <t>A completar</t>
        </is>
      </c>
      <c r="E65" s="4" t="inlineStr">
        <is>
          <t>Se hace</t>
        </is>
      </c>
      <c r="F65" s="2" t="inlineStr">
        <is>
          <t>AB / RM</t>
        </is>
      </c>
      <c r="G65" s="2" t="inlineStr">
        <is>
          <t>Semanal</t>
        </is>
      </c>
      <c r="H65" s="2" t="inlineStr">
        <is>
          <t>20</t>
        </is>
      </c>
      <c r="I65" s="2" t="inlineStr">
        <is>
          <t>4.33</t>
        </is>
      </c>
      <c r="J65" s="2" t="inlineStr">
        <is>
          <t>No calcular aun</t>
        </is>
      </c>
      <c r="K65" s="3" t="inlineStr"/>
      <c r="L65" s="2" t="inlineStr"/>
      <c r="M65" s="3" t="inlineStr">
        <is>
          <t>Dia/momento: Lunes. Responsable en el catalogo figura como LOG (sin persona especifica asignada) | Tiempo de origen (planilla Procesos Diarios) sin validar - no usar para calcular horas hasta confirmar con AB/RM</t>
        </is>
      </c>
    </row>
    <row r="66">
      <c r="A66" s="2" t="inlineStr">
        <is>
          <t>Tareas Reactivas (Interrupciones)</t>
        </is>
      </c>
      <c r="B66" s="2" t="inlineStr">
        <is>
          <t>N/A</t>
        </is>
      </c>
      <c r="C66" s="3" t="inlineStr">
        <is>
          <t>Recibir devolucion de instalacion (AA)</t>
        </is>
      </c>
      <c r="D66" s="3" t="inlineStr">
        <is>
          <t>A completar</t>
        </is>
      </c>
      <c r="E66" s="4" t="inlineStr">
        <is>
          <t>Se hace</t>
        </is>
      </c>
      <c r="F66" s="2" t="inlineStr">
        <is>
          <t>AB / RM</t>
        </is>
      </c>
      <c r="G66" s="2" t="inlineStr">
        <is>
          <t>Semanal</t>
        </is>
      </c>
      <c r="H66" s="2" t="inlineStr">
        <is>
          <t>20</t>
        </is>
      </c>
      <c r="I66" s="2" t="inlineStr">
        <is>
          <t>4.33</t>
        </is>
      </c>
      <c r="J66" s="2" t="inlineStr">
        <is>
          <t>No calcular aun</t>
        </is>
      </c>
      <c r="K66" s="3" t="inlineStr"/>
      <c r="L66" s="2" t="inlineStr"/>
      <c r="M66" s="3" t="inlineStr">
        <is>
          <t>Dia/momento: Lunes. Responsable en el catalogo figura como LOG (sin persona especifica asignada) | Tiempo de origen (planilla Procesos Diarios) sin validar - no usar para calcular horas hasta confirmar con AB/RM</t>
        </is>
      </c>
    </row>
    <row r="67">
      <c r="A67" s="2" t="inlineStr">
        <is>
          <t>Tareas Reactivas (Interrupciones)</t>
        </is>
      </c>
      <c r="B67" s="2" t="inlineStr">
        <is>
          <t>N/A</t>
        </is>
      </c>
      <c r="C67" s="3" t="inlineStr">
        <is>
          <t>Atender telefono</t>
        </is>
      </c>
      <c r="D67" s="3" t="inlineStr">
        <is>
          <t>A completar</t>
        </is>
      </c>
      <c r="E67" s="4" t="inlineStr">
        <is>
          <t>Se hace</t>
        </is>
      </c>
      <c r="F67" s="2" t="inlineStr">
        <is>
          <t>AB / RM</t>
        </is>
      </c>
      <c r="G67" s="2" t="inlineStr">
        <is>
          <t>Diario</t>
        </is>
      </c>
      <c r="H67" s="2" t="inlineStr">
        <is>
          <t>A confirmar</t>
        </is>
      </c>
      <c r="I67" s="2" t="inlineStr">
        <is>
          <t>22</t>
        </is>
      </c>
      <c r="J67" s="2" t="inlineStr">
        <is>
          <t>A confirmar</t>
        </is>
      </c>
      <c r="K67" s="3" t="inlineStr"/>
      <c r="L67" s="2" t="inlineStr"/>
      <c r="M67" s="3" t="inlineStr">
        <is>
          <t>Dia/momento: Interrupcion. Responsable en el catalogo figura como LOG (sin persona especifica asignada)</t>
        </is>
      </c>
    </row>
    <row r="68">
      <c r="A68" s="2" t="inlineStr">
        <is>
          <t>Tareas Reactivas (Interrupciones)</t>
        </is>
      </c>
      <c r="B68" s="2" t="inlineStr">
        <is>
          <t>N/A</t>
        </is>
      </c>
      <c r="C68" s="3" t="inlineStr">
        <is>
          <t>Atender tecnico en sitio</t>
        </is>
      </c>
      <c r="D68" s="3" t="inlineStr">
        <is>
          <t>A completar</t>
        </is>
      </c>
      <c r="E68" s="4" t="inlineStr">
        <is>
          <t>Se hace</t>
        </is>
      </c>
      <c r="F68" s="2" t="inlineStr">
        <is>
          <t>AB / RM</t>
        </is>
      </c>
      <c r="G68" s="2" t="inlineStr">
        <is>
          <t>Diario</t>
        </is>
      </c>
      <c r="H68" s="2" t="inlineStr">
        <is>
          <t>A confirmar</t>
        </is>
      </c>
      <c r="I68" s="2" t="inlineStr">
        <is>
          <t>22</t>
        </is>
      </c>
      <c r="J68" s="2" t="inlineStr">
        <is>
          <t>A confirmar</t>
        </is>
      </c>
      <c r="K68" s="3" t="inlineStr"/>
      <c r="L68" s="2" t="inlineStr"/>
      <c r="M68" s="3" t="inlineStr">
        <is>
          <t>Dia/momento: Interrupcion. Responsable en el catalogo figura como LOG (sin persona especifica asignada)</t>
        </is>
      </c>
    </row>
    <row r="69">
      <c r="A69" s="2" t="inlineStr">
        <is>
          <t>Tareas Reactivas (Interrupciones)</t>
        </is>
      </c>
      <c r="B69" s="2" t="inlineStr">
        <is>
          <t>N/A</t>
        </is>
      </c>
      <c r="C69" s="3" t="inlineStr">
        <is>
          <t>Ingresar de forma remota por BabyWare</t>
        </is>
      </c>
      <c r="D69" s="3" t="inlineStr">
        <is>
          <t>A completar</t>
        </is>
      </c>
      <c r="E69" s="4" t="inlineStr">
        <is>
          <t>Se hace</t>
        </is>
      </c>
      <c r="F69" s="2" t="inlineStr">
        <is>
          <t>AB / RM</t>
        </is>
      </c>
      <c r="G69" s="2" t="inlineStr">
        <is>
          <t>IntraDiario</t>
        </is>
      </c>
      <c r="H69" s="2" t="inlineStr">
        <is>
          <t>A confirmar</t>
        </is>
      </c>
      <c r="I69" s="2" t="inlineStr">
        <is>
          <t>22</t>
        </is>
      </c>
      <c r="J69" s="2" t="inlineStr">
        <is>
          <t>A confirmar</t>
        </is>
      </c>
      <c r="K69" s="3" t="inlineStr"/>
      <c r="L69" s="2" t="inlineStr"/>
      <c r="M69" s="3" t="inlineStr">
        <is>
          <t>Dia/momento: Interrupcion. Responsable en el catalogo figura como LOG (sin persona especifica asignada)</t>
        </is>
      </c>
    </row>
    <row r="70">
      <c r="A70" s="2" t="inlineStr">
        <is>
          <t>Tareas Reactivas (Interrupciones)</t>
        </is>
      </c>
      <c r="B70" s="2" t="inlineStr">
        <is>
          <t>N/A</t>
        </is>
      </c>
      <c r="C70" s="3" t="inlineStr">
        <is>
          <t>Mandar mensajes a Chips Jasper</t>
        </is>
      </c>
      <c r="D70" s="3" t="inlineStr">
        <is>
          <t>A completar</t>
        </is>
      </c>
      <c r="E70" s="4" t="inlineStr">
        <is>
          <t>Se hace</t>
        </is>
      </c>
      <c r="F70" s="2" t="inlineStr">
        <is>
          <t>AB / RM</t>
        </is>
      </c>
      <c r="G70" s="2" t="inlineStr">
        <is>
          <t>IntraDiario</t>
        </is>
      </c>
      <c r="H70" s="2" t="inlineStr">
        <is>
          <t>A confirmar</t>
        </is>
      </c>
      <c r="I70" s="2" t="inlineStr">
        <is>
          <t>22</t>
        </is>
      </c>
      <c r="J70" s="2" t="inlineStr">
        <is>
          <t>A confirmar</t>
        </is>
      </c>
      <c r="K70" s="3" t="inlineStr"/>
      <c r="L70" s="2" t="inlineStr"/>
      <c r="M70" s="3" t="inlineStr">
        <is>
          <t>Dia/momento: Interrupcion. Responsable en el catalogo figura como LOG (sin persona especifica asignada)</t>
        </is>
      </c>
    </row>
    <row r="71">
      <c r="A71" s="2" t="inlineStr">
        <is>
          <t>Tareas Reactivas (Interrupciones)</t>
        </is>
      </c>
      <c r="B71" s="2" t="inlineStr">
        <is>
          <t>N/A</t>
        </is>
      </c>
      <c r="C71" s="3" t="inlineStr">
        <is>
          <t>Informar robo por Telegram</t>
        </is>
      </c>
      <c r="D71" s="3" t="inlineStr">
        <is>
          <t>A completar</t>
        </is>
      </c>
      <c r="E71" s="4" t="inlineStr">
        <is>
          <t>Se hace</t>
        </is>
      </c>
      <c r="F71" s="2" t="inlineStr">
        <is>
          <t>AB / RM</t>
        </is>
      </c>
      <c r="G71" s="2" t="inlineStr">
        <is>
          <t>IntraDiario</t>
        </is>
      </c>
      <c r="H71" s="2" t="inlineStr">
        <is>
          <t>A confirmar</t>
        </is>
      </c>
      <c r="I71" s="2" t="inlineStr">
        <is>
          <t>22</t>
        </is>
      </c>
      <c r="J71" s="2" t="inlineStr">
        <is>
          <t>A confirmar</t>
        </is>
      </c>
      <c r="K71" s="3" t="inlineStr"/>
      <c r="L71" s="2" t="inlineStr"/>
      <c r="M71" s="3" t="inlineStr">
        <is>
          <t>Dia/momento: Interrupcion. Responsable en el catalogo figura como LOG (sin persona especifica asignada)</t>
        </is>
      </c>
    </row>
    <row r="72">
      <c r="A72" s="2" t="inlineStr">
        <is>
          <t>Tareas Reactivas (Interrupciones)</t>
        </is>
      </c>
      <c r="B72" s="2" t="inlineStr">
        <is>
          <t>N/A</t>
        </is>
      </c>
      <c r="C72" s="3" t="inlineStr">
        <is>
          <t>Atender llamadas de clientes (celular)</t>
        </is>
      </c>
      <c r="D72" s="3" t="inlineStr">
        <is>
          <t>A completar</t>
        </is>
      </c>
      <c r="E72" s="4" t="inlineStr">
        <is>
          <t>Se hace</t>
        </is>
      </c>
      <c r="F72" s="2" t="inlineStr">
        <is>
          <t>AB / RM</t>
        </is>
      </c>
      <c r="G72" s="2" t="inlineStr">
        <is>
          <t>IntraDiario</t>
        </is>
      </c>
      <c r="H72" s="2" t="inlineStr">
        <is>
          <t>A confirmar</t>
        </is>
      </c>
      <c r="I72" s="2" t="inlineStr">
        <is>
          <t>22</t>
        </is>
      </c>
      <c r="J72" s="2" t="inlineStr">
        <is>
          <t>A confirmar</t>
        </is>
      </c>
      <c r="K72" s="3" t="inlineStr"/>
      <c r="L72" s="2" t="inlineStr"/>
      <c r="M72" s="3" t="inlineStr">
        <is>
          <t>Dia/momento: Interrupcion. Responsable en el catalogo figura como LOG (sin persona especifica asignada)</t>
        </is>
      </c>
    </row>
    <row r="73">
      <c r="A73" s="2" t="inlineStr">
        <is>
          <t>Tareas Reactivas (Interrupciones)</t>
        </is>
      </c>
      <c r="B73" s="2" t="inlineStr">
        <is>
          <t>N/A</t>
        </is>
      </c>
      <c r="C73" s="3" t="inlineStr">
        <is>
          <t>Carga de Servicio Tecnico (coordinacion)</t>
        </is>
      </c>
      <c r="D73" s="3" t="inlineStr">
        <is>
          <t>A completar</t>
        </is>
      </c>
      <c r="E73" s="4" t="inlineStr">
        <is>
          <t>Se hace</t>
        </is>
      </c>
      <c r="F73" s="2" t="inlineStr">
        <is>
          <t>AB / RM</t>
        </is>
      </c>
      <c r="G73" s="2" t="inlineStr">
        <is>
          <t>Diario</t>
        </is>
      </c>
      <c r="H73" s="2" t="inlineStr">
        <is>
          <t>A confirmar</t>
        </is>
      </c>
      <c r="I73" s="2" t="inlineStr">
        <is>
          <t>22</t>
        </is>
      </c>
      <c r="J73" s="2" t="inlineStr">
        <is>
          <t>A confirmar</t>
        </is>
      </c>
      <c r="K73" s="3" t="inlineStr"/>
      <c r="L73" s="2" t="inlineStr"/>
      <c r="M73" s="3" t="inlineStr">
        <is>
          <t>Responsable en el catalogo figura como LOG (sin persona especifica asignada)</t>
        </is>
      </c>
    </row>
    <row r="74">
      <c r="A74" s="2" t="inlineStr">
        <is>
          <t>Administracion General (AB)</t>
        </is>
      </c>
      <c r="B74" s="2" t="inlineStr">
        <is>
          <t>N/A</t>
        </is>
      </c>
      <c r="C74" s="3" t="inlineStr">
        <is>
          <t>Actualizacion de Datacenter / servidores</t>
        </is>
      </c>
      <c r="D74" s="3" t="inlineStr">
        <is>
          <t>A completar</t>
        </is>
      </c>
      <c r="E74" s="4" t="inlineStr">
        <is>
          <t>Se hace</t>
        </is>
      </c>
      <c r="F74" s="2" t="inlineStr">
        <is>
          <t>AB / RM</t>
        </is>
      </c>
      <c r="G74" s="2" t="inlineStr">
        <is>
          <t>Mensual</t>
        </is>
      </c>
      <c r="H74" s="2" t="inlineStr">
        <is>
          <t>A confirmar</t>
        </is>
      </c>
      <c r="I74" s="2" t="inlineStr">
        <is>
          <t>1</t>
        </is>
      </c>
      <c r="J74" s="2" t="inlineStr">
        <is>
          <t>A confirmar</t>
        </is>
      </c>
      <c r="K74" s="3" t="inlineStr"/>
      <c r="L74" s="2" t="inlineStr"/>
      <c r="M74" s="3" t="inlineStr">
        <is>
          <t>Dia/momento: Primer dia. Responsable en el catalogo figura como LOG (sin persona especifica asignada)</t>
        </is>
      </c>
    </row>
    <row r="75">
      <c r="A75" s="2" t="inlineStr">
        <is>
          <t>Proceso de Cargas (nombre tentativo)</t>
        </is>
      </c>
      <c r="B75" s="2" t="inlineStr">
        <is>
          <t>Planificacion y Carga de la Hoja de Procesos Diarios</t>
        </is>
      </c>
      <c r="C75" s="3" t="inlineStr">
        <is>
          <t>Rehacer hoja de Procesos Diarios</t>
        </is>
      </c>
      <c r="D75" s="3" t="inlineStr">
        <is>
          <t>Planificar como se va a trabajar en el mes: que dia/horario se dedica a cada tarea</t>
        </is>
      </c>
      <c r="E75" s="4" t="inlineStr">
        <is>
          <t>Se hace</t>
        </is>
      </c>
      <c r="F75" s="2" t="inlineStr">
        <is>
          <t>AB</t>
        </is>
      </c>
      <c r="G75" s="2" t="inlineStr">
        <is>
          <t>Mensual</t>
        </is>
      </c>
      <c r="H75" s="2" t="inlineStr">
        <is>
          <t>60</t>
        </is>
      </c>
      <c r="I75" s="2" t="inlineStr">
        <is>
          <t>1</t>
        </is>
      </c>
      <c r="J75" s="2" t="inlineStr">
        <is>
          <t>No calcular aun</t>
        </is>
      </c>
      <c r="K75" s="3" t="inlineStr"/>
      <c r="L75" s="2" t="inlineStr"/>
      <c r="M75" s="3" t="inlineStr">
        <is>
          <t>Dia/momento: Ultimo dia. Nombre de proceso tentativo (JL, 18/08/2026). | Tiempo de origen (planilla Procesos Diarios) sin validar - no usar para calcular horas hasta confirmar con AB/RM</t>
        </is>
      </c>
    </row>
    <row r="76">
      <c r="A76" s="2" t="inlineStr">
        <is>
          <t>Proceso de Cargas (nombre tentativo)</t>
        </is>
      </c>
      <c r="B76" s="2" t="inlineStr">
        <is>
          <t>Planificacion y Carga de la Hoja de Procesos Diarios</t>
        </is>
      </c>
      <c r="C76" s="3" t="inlineStr">
        <is>
          <t>Rehacer hoja de Procesos Diarios</t>
        </is>
      </c>
      <c r="D76" s="3" t="inlineStr">
        <is>
          <t>Planificar como se va a trabajar en el mes: que dia/horario se dedica a cada tarea</t>
        </is>
      </c>
      <c r="E76" s="4" t="inlineStr">
        <is>
          <t>Se hace</t>
        </is>
      </c>
      <c r="F76" s="2" t="inlineStr">
        <is>
          <t>RM</t>
        </is>
      </c>
      <c r="G76" s="2" t="inlineStr">
        <is>
          <t>Mensual</t>
        </is>
      </c>
      <c r="H76" s="2" t="inlineStr">
        <is>
          <t>A confirmar</t>
        </is>
      </c>
      <c r="I76" s="2" t="inlineStr">
        <is>
          <t>1</t>
        </is>
      </c>
      <c r="J76" s="2" t="inlineStr">
        <is>
          <t>A confirmar</t>
        </is>
      </c>
      <c r="K76" s="3" t="inlineStr"/>
      <c r="L76" s="2" t="inlineStr"/>
      <c r="M76" s="3" t="inlineStr">
        <is>
          <t>No aparece en el catalogo de RM - confirmar si RM tambien la hace o es solo de AB</t>
        </is>
      </c>
    </row>
    <row r="77">
      <c r="A77" s="2" t="inlineStr">
        <is>
          <t>Proceso de Cargas (nombre tentativo)</t>
        </is>
      </c>
      <c r="B77" s="2" t="inlineStr">
        <is>
          <t>Planificacion y Carga de la Hoja de Procesos Diarios</t>
        </is>
      </c>
      <c r="C77" s="3" t="inlineStr">
        <is>
          <t>Completar carga de Procesos Diarios</t>
        </is>
      </c>
      <c r="D77" s="3" t="inlineStr">
        <is>
          <t>Marcar en la planilla que la tarea del dia ya se hizo</t>
        </is>
      </c>
      <c r="E77" s="4" t="inlineStr">
        <is>
          <t>Se hace</t>
        </is>
      </c>
      <c r="F77" s="2" t="inlineStr">
        <is>
          <t>AB</t>
        </is>
      </c>
      <c r="G77" s="2" t="inlineStr">
        <is>
          <t>Diario</t>
        </is>
      </c>
      <c r="H77" s="2" t="inlineStr">
        <is>
          <t>20</t>
        </is>
      </c>
      <c r="I77" s="2" t="inlineStr">
        <is>
          <t>22</t>
        </is>
      </c>
      <c r="J77" s="2" t="inlineStr">
        <is>
          <t>No calcular aun</t>
        </is>
      </c>
      <c r="K77" s="3" t="inlineStr"/>
      <c r="L77" s="2" t="inlineStr"/>
      <c r="M77" s="3" t="inlineStr">
        <is>
          <t>Dia/momento: Primer dia. | Tiempo de origen (planilla Procesos Diarios) sin validar - no usar para calcular horas hasta confirmar con AB/RM</t>
        </is>
      </c>
    </row>
    <row r="78">
      <c r="A78" s="2" t="inlineStr">
        <is>
          <t>Proceso de Cargas (nombre tentativo)</t>
        </is>
      </c>
      <c r="B78" s="2" t="inlineStr">
        <is>
          <t>Planificacion y Carga de la Hoja de Procesos Diarios</t>
        </is>
      </c>
      <c r="C78" s="3" t="inlineStr">
        <is>
          <t>Completar carga de Procesos Diarios</t>
        </is>
      </c>
      <c r="D78" s="3" t="inlineStr">
        <is>
          <t>Marcar en la planilla que la tarea del dia ya se hizo</t>
        </is>
      </c>
      <c r="E78" s="4" t="inlineStr">
        <is>
          <t>Se hace</t>
        </is>
      </c>
      <c r="F78" s="2" t="inlineStr">
        <is>
          <t>RM</t>
        </is>
      </c>
      <c r="G78" s="2" t="inlineStr">
        <is>
          <t>Diario</t>
        </is>
      </c>
      <c r="H78" s="2" t="inlineStr">
        <is>
          <t>5</t>
        </is>
      </c>
      <c r="I78" s="2" t="inlineStr">
        <is>
          <t>22</t>
        </is>
      </c>
      <c r="J78" s="2" t="inlineStr">
        <is>
          <t>No calcular aun</t>
        </is>
      </c>
      <c r="K78" s="3" t="inlineStr"/>
      <c r="L78" s="2" t="inlineStr"/>
      <c r="M78" s="3" t="inlineStr">
        <is>
          <t>Dia/momento: Primer dia. Reubicada desde Rutina Administrativa Diaria (RM). | Tiempo de origen (planilla Procesos Diarios) sin validar - no usar para calcular horas hasta confirmar con AB/RM</t>
        </is>
      </c>
    </row>
    <row r="79">
      <c r="A79" s="2" t="inlineStr">
        <is>
          <t>Sin Proceso Asignado (a un costado)</t>
        </is>
      </c>
      <c r="B79" s="2" t="inlineStr">
        <is>
          <t>N/A</t>
        </is>
      </c>
      <c r="C79" s="3" t="inlineStr">
        <is>
          <t>Subir publicidad en WhatsApp</t>
        </is>
      </c>
      <c r="D79" s="3" t="inlineStr">
        <is>
          <t>A completar</t>
        </is>
      </c>
      <c r="E79" s="4" t="inlineStr">
        <is>
          <t>Se hace</t>
        </is>
      </c>
      <c r="F79" s="2" t="inlineStr">
        <is>
          <t>AB</t>
        </is>
      </c>
      <c r="G79" s="2" t="inlineStr">
        <is>
          <t>Diario</t>
        </is>
      </c>
      <c r="H79" s="2" t="inlineStr">
        <is>
          <t>5</t>
        </is>
      </c>
      <c r="I79" s="2" t="inlineStr">
        <is>
          <t>22</t>
        </is>
      </c>
      <c r="J79" s="2" t="inlineStr">
        <is>
          <t>No calcular aun</t>
        </is>
      </c>
      <c r="K79" s="3" t="inlineStr"/>
      <c r="L79" s="2" t="inlineStr"/>
      <c r="M79" s="3" t="inlineStr">
        <is>
          <t>Dia/momento: Primer dia. Tarea comun a todo el equipo de LOG - JL: 'no hay proceso, trabajar en los procesos mas adelante'. | Tiempo de origen (planilla Procesos Diarios) sin validar - no usar para calcular horas hasta confirmar con AB/RM</t>
        </is>
      </c>
    </row>
    <row r="80">
      <c r="A80" s="2" t="inlineStr">
        <is>
          <t>Sin Proceso Asignado (a un costado)</t>
        </is>
      </c>
      <c r="B80" s="2" t="inlineStr">
        <is>
          <t>N/A</t>
        </is>
      </c>
      <c r="C80" s="3" t="inlineStr">
        <is>
          <t>Subir publicidad en WhatsApp</t>
        </is>
      </c>
      <c r="D80" s="3" t="inlineStr">
        <is>
          <t>A completar</t>
        </is>
      </c>
      <c r="E80" s="4" t="inlineStr">
        <is>
          <t>Se hace</t>
        </is>
      </c>
      <c r="F80" s="2" t="inlineStr">
        <is>
          <t>RM</t>
        </is>
      </c>
      <c r="G80" s="2" t="inlineStr">
        <is>
          <t>Diario</t>
        </is>
      </c>
      <c r="H80" s="2" t="inlineStr">
        <is>
          <t>5</t>
        </is>
      </c>
      <c r="I80" s="2" t="inlineStr">
        <is>
          <t>22</t>
        </is>
      </c>
      <c r="J80" s="2" t="inlineStr">
        <is>
          <t>No calcular aun</t>
        </is>
      </c>
      <c r="K80" s="3" t="inlineStr"/>
      <c r="L80" s="2" t="inlineStr"/>
      <c r="M80" s="3" t="inlineStr">
        <is>
          <t>Dia/momento: Primer dia. Reubicada desde Rutina Administrativa Diaria (RM). | Tiempo de origen (planilla Procesos Diarios) sin validar - no usar para calcular horas hasta confirmar con AB/RM</t>
        </is>
      </c>
    </row>
    <row r="81">
      <c r="A81" s="2" t="inlineStr">
        <is>
          <t>Sin Proceso Asignado (a un costado)</t>
        </is>
      </c>
      <c r="B81" s="2" t="inlineStr">
        <is>
          <t>N/A</t>
        </is>
      </c>
      <c r="C81" s="3" t="inlineStr">
        <is>
          <t>Ordenar escritorio</t>
        </is>
      </c>
      <c r="D81" s="3" t="inlineStr">
        <is>
          <t>Dejar el escritorio en blanco para que otra persona pueda usarlo</t>
        </is>
      </c>
      <c r="E81" s="4" t="inlineStr">
        <is>
          <t>Se hace</t>
        </is>
      </c>
      <c r="F81" s="2" t="inlineStr">
        <is>
          <t>AB</t>
        </is>
      </c>
      <c r="G81" s="2" t="inlineStr">
        <is>
          <t>Diario</t>
        </is>
      </c>
      <c r="H81" s="2" t="inlineStr">
        <is>
          <t>10</t>
        </is>
      </c>
      <c r="I81" s="2" t="inlineStr">
        <is>
          <t>22</t>
        </is>
      </c>
      <c r="J81" s="2" t="inlineStr">
        <is>
          <t>No calcular aun</t>
        </is>
      </c>
      <c r="K81" s="3" t="inlineStr"/>
      <c r="L81" s="2" t="inlineStr"/>
      <c r="M81" s="3" t="inlineStr">
        <is>
          <t>Dia/momento: Primer dia. JL: deberian ser 15-20 min al final del dia; hoy complicado de cumplir. | Tiempo de origen (planilla Procesos Diarios) sin validar - no usar para calcular horas hasta confirmar con AB/RM</t>
        </is>
      </c>
    </row>
    <row r="82">
      <c r="A82" s="2" t="inlineStr">
        <is>
          <t>Sin Proceso Asignado (a un costado)</t>
        </is>
      </c>
      <c r="B82" s="2" t="inlineStr">
        <is>
          <t>N/A</t>
        </is>
      </c>
      <c r="C82" s="3" t="inlineStr">
        <is>
          <t>Ordenar escritorio</t>
        </is>
      </c>
      <c r="D82" s="3" t="inlineStr">
        <is>
          <t>Dejar el escritorio en blanco para que otra persona pueda usarlo</t>
        </is>
      </c>
      <c r="E82" s="4" t="inlineStr">
        <is>
          <t>Se hace</t>
        </is>
      </c>
      <c r="F82" s="2" t="inlineStr">
        <is>
          <t>RM</t>
        </is>
      </c>
      <c r="G82" s="2" t="inlineStr">
        <is>
          <t>Diario</t>
        </is>
      </c>
      <c r="H82" s="2" t="inlineStr">
        <is>
          <t>10</t>
        </is>
      </c>
      <c r="I82" s="2" t="inlineStr">
        <is>
          <t>22</t>
        </is>
      </c>
      <c r="J82" s="2" t="inlineStr">
        <is>
          <t>No calcular aun</t>
        </is>
      </c>
      <c r="K82" s="3" t="inlineStr"/>
      <c r="L82" s="2" t="inlineStr"/>
      <c r="M82" s="3" t="inlineStr">
        <is>
          <t>Dia/momento: Primer dia. Reubicada desde Rutina Administrativa Diaria (RM). | Tiempo de origen (planilla Procesos Diarios) sin validar - no usar para calcular horas hasta confirmar con AB/RM</t>
        </is>
      </c>
    </row>
    <row r="83">
      <c r="A83" s="2" t="inlineStr">
        <is>
          <t>Sin Proceso Asignado (a un costado)</t>
        </is>
      </c>
      <c r="B83" s="2" t="inlineStr">
        <is>
          <t>N/A</t>
        </is>
      </c>
      <c r="C83" s="3" t="inlineStr">
        <is>
          <t>Preparacion de equipos de instalacion (ST)</t>
        </is>
      </c>
      <c r="D83" s="3" t="inlineStr">
        <is>
          <t>A completar</t>
        </is>
      </c>
      <c r="E83" s="4" t="inlineStr">
        <is>
          <t>Se hace</t>
        </is>
      </c>
      <c r="F83" s="2" t="inlineStr">
        <is>
          <t>AB</t>
        </is>
      </c>
      <c r="G83" s="2" t="inlineStr">
        <is>
          <t>A Demanda</t>
        </is>
      </c>
      <c r="H83" s="2" t="inlineStr">
        <is>
          <t>30</t>
        </is>
      </c>
      <c r="I83" s="2" t="inlineStr">
        <is>
          <t>A confirmar</t>
        </is>
      </c>
      <c r="J83" s="2" t="inlineStr">
        <is>
          <t>A confirmar</t>
        </is>
      </c>
      <c r="K83" s="3" t="inlineStr"/>
      <c r="L83" s="2" t="inlineStr"/>
      <c r="M83" s="3" t="inlineStr">
        <is>
          <t>JL: 'no se en que proceso pondria esta tarea' - depende de cuanto venda Comercial, entre 0 y varias por dia</t>
        </is>
      </c>
    </row>
    <row r="84">
      <c r="A84" s="2" t="inlineStr">
        <is>
          <t>Chips</t>
        </is>
      </c>
      <c r="B84" s="2" t="inlineStr">
        <is>
          <t>Bloqueo y Desbloqueo - AXpro</t>
        </is>
      </c>
      <c r="C84" s="3" t="inlineStr">
        <is>
          <t>Bloqueo de equipos AXpro</t>
        </is>
      </c>
      <c r="D84" s="3" t="inlineStr">
        <is>
          <t>A completar</t>
        </is>
      </c>
      <c r="E84" s="4" t="inlineStr">
        <is>
          <t>Se hace</t>
        </is>
      </c>
      <c r="F84" s="2" t="inlineStr">
        <is>
          <t>AB</t>
        </is>
      </c>
      <c r="G84" s="2" t="inlineStr">
        <is>
          <t>Semanal</t>
        </is>
      </c>
      <c r="H84" s="2" t="inlineStr">
        <is>
          <t>30</t>
        </is>
      </c>
      <c r="I84" s="2" t="inlineStr">
        <is>
          <t>4.33</t>
        </is>
      </c>
      <c r="J84" s="2" t="inlineStr">
        <is>
          <t>No calcular aun</t>
        </is>
      </c>
      <c r="K84" s="3" t="inlineStr"/>
      <c r="L84" s="2" t="inlineStr"/>
      <c r="M84" s="3" t="inlineStr">
        <is>
          <t>Dia/momento: Jueves. Renombrado a 'Chips' el 18/08/2026 por correccion de JL: el jueves de AB es Chips, no 'Ingreso Remoto a Clientes'. JL confirmo (18/08/2026): es el mismo proceso Chips que 'Gestion de Chips (administrativo)' de RM (dos procedimientos: operativo AB / administrativo RM). Fusion pendiente de hacer en detalle mas adelante. | Tiempo de origen (planilla Procesos Diarios) sin validar - no usar para calcular horas hasta confirmar con AB/RM</t>
        </is>
      </c>
    </row>
    <row r="85">
      <c r="A85" s="2" t="inlineStr">
        <is>
          <t>Chips</t>
        </is>
      </c>
      <c r="B85" s="2" t="inlineStr">
        <is>
          <t>Bloqueo y Desbloqueo - Paradox (remoto)</t>
        </is>
      </c>
      <c r="C85" s="3" t="inlineStr">
        <is>
          <t>Bloqueo de equipos Paradox (PDX, remoto)</t>
        </is>
      </c>
      <c r="D85" s="3" t="inlineStr">
        <is>
          <t>A completar</t>
        </is>
      </c>
      <c r="E85" s="4" t="inlineStr">
        <is>
          <t>Se hace</t>
        </is>
      </c>
      <c r="F85" s="2" t="inlineStr">
        <is>
          <t>AB</t>
        </is>
      </c>
      <c r="G85" s="2" t="inlineStr">
        <is>
          <t>Semanal</t>
        </is>
      </c>
      <c r="H85" s="2" t="inlineStr">
        <is>
          <t>30</t>
        </is>
      </c>
      <c r="I85" s="2" t="inlineStr">
        <is>
          <t>4.33</t>
        </is>
      </c>
      <c r="J85" s="2" t="inlineStr">
        <is>
          <t>No calcular aun</t>
        </is>
      </c>
      <c r="K85" s="3" t="inlineStr"/>
      <c r="L85" s="2" t="inlineStr"/>
      <c r="M85" s="3" t="inlineStr">
        <is>
          <t>Dia/momento: Jueves. | Tiempo de origen (planilla Procesos Diarios) sin validar - no usar para calcular horas hasta confirmar con AB/RM</t>
        </is>
      </c>
    </row>
    <row r="86">
      <c r="A86" s="2" t="inlineStr">
        <is>
          <t>Chips</t>
        </is>
      </c>
      <c r="B86" s="2" t="inlineStr">
        <is>
          <t>Bloqueo y Desbloqueo - AXpro</t>
        </is>
      </c>
      <c r="C86" s="3" t="inlineStr">
        <is>
          <t>Desbloqueo de equipos AXpro</t>
        </is>
      </c>
      <c r="D86" s="3" t="inlineStr">
        <is>
          <t>A completar</t>
        </is>
      </c>
      <c r="E86" s="4" t="inlineStr">
        <is>
          <t>Se hace</t>
        </is>
      </c>
      <c r="F86" s="2" t="inlineStr">
        <is>
          <t>AB</t>
        </is>
      </c>
      <c r="G86" s="2" t="inlineStr">
        <is>
          <t>Semanal</t>
        </is>
      </c>
      <c r="H86" s="2" t="inlineStr">
        <is>
          <t>30</t>
        </is>
      </c>
      <c r="I86" s="2" t="inlineStr">
        <is>
          <t>4.33</t>
        </is>
      </c>
      <c r="J86" s="2" t="inlineStr">
        <is>
          <t>No calcular aun</t>
        </is>
      </c>
      <c r="K86" s="3" t="inlineStr"/>
      <c r="L86" s="2" t="inlineStr"/>
      <c r="M86" s="3" t="inlineStr">
        <is>
          <t>Dia/momento: Jueves. | Tiempo de origen (planilla Procesos Diarios) sin validar - no usar para calcular horas hasta confirmar con AB/RM</t>
        </is>
      </c>
    </row>
    <row r="87">
      <c r="A87" s="2" t="inlineStr">
        <is>
          <t>Chips</t>
        </is>
      </c>
      <c r="B87" s="2" t="inlineStr">
        <is>
          <t>Bloqueo y Desbloqueo - Paradox (remoto)</t>
        </is>
      </c>
      <c r="C87" s="3" t="inlineStr">
        <is>
          <t>Desbloqueo de equipos Paradox (PDX, remoto)</t>
        </is>
      </c>
      <c r="D87" s="3" t="inlineStr">
        <is>
          <t>A completar</t>
        </is>
      </c>
      <c r="E87" s="4" t="inlineStr">
        <is>
          <t>Se hace</t>
        </is>
      </c>
      <c r="F87" s="2" t="inlineStr">
        <is>
          <t>AB</t>
        </is>
      </c>
      <c r="G87" s="2" t="inlineStr">
        <is>
          <t>Semanal</t>
        </is>
      </c>
      <c r="H87" s="2" t="inlineStr">
        <is>
          <t>30</t>
        </is>
      </c>
      <c r="I87" s="2" t="inlineStr">
        <is>
          <t>4.33</t>
        </is>
      </c>
      <c r="J87" s="2" t="inlineStr">
        <is>
          <t>No calcular aun</t>
        </is>
      </c>
      <c r="K87" s="3" t="inlineStr"/>
      <c r="L87" s="2" t="inlineStr"/>
      <c r="M87" s="3" t="inlineStr">
        <is>
          <t>Dia/momento: Jueves. | Tiempo de origen (planilla Procesos Diarios) sin validar - no usar para calcular horas hasta confirmar con AB/RM</t>
        </is>
      </c>
    </row>
    <row r="88">
      <c r="A88" s="2" t="inlineStr">
        <is>
          <t>Falla de Tests</t>
        </is>
      </c>
      <c r="B88" s="2" t="inlineStr">
        <is>
          <t>Instructivo General (documento vinculado)</t>
        </is>
      </c>
      <c r="C88" s="3" t="inlineStr">
        <is>
          <t>Falla de Test - procedimiento general</t>
        </is>
      </c>
      <c r="D88" s="3" t="inlineStr">
        <is>
          <t>A completar</t>
        </is>
      </c>
      <c r="E88" s="4" t="inlineStr">
        <is>
          <t>Se hace</t>
        </is>
      </c>
      <c r="F88" s="2" t="inlineStr">
        <is>
          <t>AB</t>
        </is>
      </c>
      <c r="G88" s="2" t="inlineStr">
        <is>
          <t>Semanal</t>
        </is>
      </c>
      <c r="H88" s="2" t="inlineStr">
        <is>
          <t>30</t>
        </is>
      </c>
      <c r="I88" s="2" t="inlineStr">
        <is>
          <t>4.33</t>
        </is>
      </c>
      <c r="J88" s="2" t="inlineStr">
        <is>
          <t>No calcular aun</t>
        </is>
      </c>
      <c r="K88" s="3" t="inlineStr"/>
      <c r="L88" s="2" t="inlineStr"/>
      <c r="M88" s="3" t="inlineStr">
        <is>
          <t>Dia/momento: Lunes. Tiene instructivo en Drive vinculado. | Tiempo de origen (planilla Procesos Diarios) sin validar - no usar para calcular horas hasta confirmar con AB/RM</t>
        </is>
      </c>
    </row>
    <row r="89">
      <c r="A89" s="2" t="inlineStr">
        <is>
          <t>Falla de Tests</t>
        </is>
      </c>
      <c r="B89" s="2" t="inlineStr">
        <is>
          <t>Envio de Mail</t>
        </is>
      </c>
      <c r="C89" s="3" t="inlineStr">
        <is>
          <t>Pendiente de cargar (gap)</t>
        </is>
      </c>
      <c r="D89" s="3" t="inlineStr">
        <is>
          <t>A completar</t>
        </is>
      </c>
      <c r="E89" s="5" t="inlineStr">
        <is>
          <t>Debería hacerse (falta)</t>
        </is>
      </c>
      <c r="F89" s="2" t="inlineStr">
        <is>
          <t>AB</t>
        </is>
      </c>
      <c r="G89" s="2" t="inlineStr">
        <is>
          <t>A confirmar</t>
        </is>
      </c>
      <c r="H89" s="2" t="inlineStr">
        <is>
          <t>A confirmar</t>
        </is>
      </c>
      <c r="I89" s="2" t="inlineStr">
        <is>
          <t>A confirmar</t>
        </is>
      </c>
      <c r="J89" s="2" t="inlineStr">
        <is>
          <t>A confirmar</t>
        </is>
      </c>
      <c r="K89" s="3" t="inlineStr">
        <is>
          <t>Procedimiento identificado por JL, sin tarea propia cargada todavia</t>
        </is>
      </c>
      <c r="L89" s="2" t="inlineStr">
        <is>
          <t>Alta</t>
        </is>
      </c>
      <c r="M89" s="3" t="inlineStr">
        <is>
          <t>JL (18/08/2026): dentro de Falla de Test hay que abrir este procedimiento por separado</t>
        </is>
      </c>
    </row>
    <row r="90">
      <c r="A90" s="2" t="inlineStr">
        <is>
          <t>Falla de Tests</t>
        </is>
      </c>
      <c r="B90" s="2" t="inlineStr">
        <is>
          <t>Llamado a Clientes</t>
        </is>
      </c>
      <c r="C90" s="3" t="inlineStr">
        <is>
          <t>Pendiente de cargar (gap)</t>
        </is>
      </c>
      <c r="D90" s="3" t="inlineStr">
        <is>
          <t>A completar</t>
        </is>
      </c>
      <c r="E90" s="5" t="inlineStr">
        <is>
          <t>Debería hacerse (falta)</t>
        </is>
      </c>
      <c r="F90" s="2" t="inlineStr">
        <is>
          <t>AB</t>
        </is>
      </c>
      <c r="G90" s="2" t="inlineStr">
        <is>
          <t>A confirmar</t>
        </is>
      </c>
      <c r="H90" s="2" t="inlineStr">
        <is>
          <t>A confirmar</t>
        </is>
      </c>
      <c r="I90" s="2" t="inlineStr">
        <is>
          <t>A confirmar</t>
        </is>
      </c>
      <c r="J90" s="2" t="inlineStr">
        <is>
          <t>A confirmar</t>
        </is>
      </c>
      <c r="K90" s="3" t="inlineStr">
        <is>
          <t>Procedimiento identificado por JL, sin tarea propia cargada todavia</t>
        </is>
      </c>
      <c r="L90" s="2" t="inlineStr">
        <is>
          <t>Alta</t>
        </is>
      </c>
      <c r="M90" s="3" t="inlineStr">
        <is>
          <t>JL (18/08/2026): dentro de Falla de Test hay que abrir este procedimiento por separado</t>
        </is>
      </c>
    </row>
    <row r="91">
      <c r="A91" s="2" t="inlineStr">
        <is>
          <t>Falla de Tests</t>
        </is>
      </c>
      <c r="B91" s="2" t="inlineStr">
        <is>
          <t>Coordinacion de Servicios Tecnicos</t>
        </is>
      </c>
      <c r="C91" s="3" t="inlineStr">
        <is>
          <t>Falla de Test - Coordinacion con ST</t>
        </is>
      </c>
      <c r="D91" s="3" t="inlineStr">
        <is>
          <t>A completar</t>
        </is>
      </c>
      <c r="E91" s="4" t="inlineStr">
        <is>
          <t>Se hace</t>
        </is>
      </c>
      <c r="F91" s="2" t="inlineStr">
        <is>
          <t>AB</t>
        </is>
      </c>
      <c r="G91" s="2" t="inlineStr">
        <is>
          <t>Diario</t>
        </is>
      </c>
      <c r="H91" s="2" t="inlineStr">
        <is>
          <t>5</t>
        </is>
      </c>
      <c r="I91" s="2" t="inlineStr">
        <is>
          <t>22</t>
        </is>
      </c>
      <c r="J91" s="2" t="inlineStr">
        <is>
          <t>No calcular aun</t>
        </is>
      </c>
      <c r="K91" s="3" t="inlineStr"/>
      <c r="L91" s="2" t="inlineStr"/>
      <c r="M91" s="3" t="inlineStr">
        <is>
          <t>Dia/momento: Primer dia. | Tiempo de origen (planilla Procesos Diarios) sin validar - no usar para calcular horas hasta confirmar con AB/RM</t>
        </is>
      </c>
    </row>
    <row r="92">
      <c r="A92" s="2" t="inlineStr">
        <is>
          <t>Falla de Tests</t>
        </is>
      </c>
      <c r="B92" s="2" t="inlineStr">
        <is>
          <t>Seguimiento de Servicios Tecnicos</t>
        </is>
      </c>
      <c r="C92" s="3" t="inlineStr">
        <is>
          <t>Pendiente de cargar (gap)</t>
        </is>
      </c>
      <c r="D92" s="3" t="inlineStr">
        <is>
          <t>A completar</t>
        </is>
      </c>
      <c r="E92" s="5" t="inlineStr">
        <is>
          <t>Debería hacerse (falta)</t>
        </is>
      </c>
      <c r="F92" s="2" t="inlineStr">
        <is>
          <t>AB</t>
        </is>
      </c>
      <c r="G92" s="2" t="inlineStr">
        <is>
          <t>A confirmar</t>
        </is>
      </c>
      <c r="H92" s="2" t="inlineStr">
        <is>
          <t>A confirmar</t>
        </is>
      </c>
      <c r="I92" s="2" t="inlineStr">
        <is>
          <t>A confirmar</t>
        </is>
      </c>
      <c r="J92" s="2" t="inlineStr">
        <is>
          <t>A confirmar</t>
        </is>
      </c>
      <c r="K92" s="3" t="inlineStr">
        <is>
          <t>Procedimiento identificado por JL, sin tarea propia cargada todavia</t>
        </is>
      </c>
      <c r="L92" s="2" t="inlineStr">
        <is>
          <t>Alta</t>
        </is>
      </c>
      <c r="M92" s="3" t="inlineStr">
        <is>
          <t>JL (18/08/2026): distinto de 'coordinar' - es el seguimiento posterior</t>
        </is>
      </c>
    </row>
    <row r="93">
      <c r="A93" s="2" t="inlineStr">
        <is>
          <t>Falla de Tests</t>
        </is>
      </c>
      <c r="B93" s="2" t="inlineStr">
        <is>
          <t>Analisis</t>
        </is>
      </c>
      <c r="C93" s="3" t="inlineStr">
        <is>
          <t>Falla de Test - Analisis</t>
        </is>
      </c>
      <c r="D93" s="3" t="inlineStr">
        <is>
          <t>A completar</t>
        </is>
      </c>
      <c r="E93" s="4" t="inlineStr">
        <is>
          <t>Se hace</t>
        </is>
      </c>
      <c r="F93" s="2" t="inlineStr">
        <is>
          <t>AB</t>
        </is>
      </c>
      <c r="G93" s="2" t="inlineStr">
        <is>
          <t>Diario</t>
        </is>
      </c>
      <c r="H93" s="2" t="inlineStr">
        <is>
          <t>60</t>
        </is>
      </c>
      <c r="I93" s="2" t="inlineStr">
        <is>
          <t>22</t>
        </is>
      </c>
      <c r="J93" s="2" t="inlineStr">
        <is>
          <t>No calcular aun</t>
        </is>
      </c>
      <c r="K93" s="3" t="inlineStr"/>
      <c r="L93" s="2" t="inlineStr"/>
      <c r="M93" s="3" t="inlineStr">
        <is>
          <t>Dia/momento: Primer dia. | Tiempo de origen (planilla Procesos Diarios) sin validar - no usar para calcular horas hasta confirmar con AB/RM</t>
        </is>
      </c>
    </row>
    <row r="94">
      <c r="A94" s="2" t="inlineStr">
        <is>
          <t>Offline</t>
        </is>
      </c>
      <c r="B94" s="2" t="inlineStr">
        <is>
          <t>Instructivo General (documento vinculado)</t>
        </is>
      </c>
      <c r="C94" s="3" t="inlineStr">
        <is>
          <t>Offline - procedimiento general</t>
        </is>
      </c>
      <c r="D94" s="3" t="inlineStr">
        <is>
          <t>A completar</t>
        </is>
      </c>
      <c r="E94" s="4" t="inlineStr">
        <is>
          <t>Se hace</t>
        </is>
      </c>
      <c r="F94" s="2" t="inlineStr">
        <is>
          <t>AB</t>
        </is>
      </c>
      <c r="G94" s="2" t="inlineStr">
        <is>
          <t>Semanal</t>
        </is>
      </c>
      <c r="H94" s="2" t="inlineStr">
        <is>
          <t>A confirmar</t>
        </is>
      </c>
      <c r="I94" s="2" t="inlineStr">
        <is>
          <t>4.33</t>
        </is>
      </c>
      <c r="J94" s="2" t="inlineStr">
        <is>
          <t>A confirmar</t>
        </is>
      </c>
      <c r="K94" s="3" t="inlineStr"/>
      <c r="L94" s="2" t="inlineStr"/>
      <c r="M94" s="3" t="inlineStr">
        <is>
          <t>Tiene instructivo en Drive vinculado (Google Doc)</t>
        </is>
      </c>
    </row>
    <row r="95">
      <c r="A95" s="2" t="inlineStr">
        <is>
          <t>Offline</t>
        </is>
      </c>
      <c r="B95" s="2" t="inlineStr">
        <is>
          <t>Offline de las 4</t>
        </is>
      </c>
      <c r="C95" s="3" t="inlineStr">
        <is>
          <t>Pendiente de cargar (gap): informe, analisis, coordinacion ST, mail semanal, objetivo</t>
        </is>
      </c>
      <c r="D95" s="3" t="inlineStr">
        <is>
          <t>A completar</t>
        </is>
      </c>
      <c r="E95" s="5" t="inlineStr">
        <is>
          <t>Debería hacerse (falta)</t>
        </is>
      </c>
      <c r="F95" s="2" t="inlineStr">
        <is>
          <t>AB</t>
        </is>
      </c>
      <c r="G95" s="2" t="inlineStr">
        <is>
          <t>A confirmar</t>
        </is>
      </c>
      <c r="H95" s="2" t="inlineStr">
        <is>
          <t>A confirmar</t>
        </is>
      </c>
      <c r="I95" s="2" t="inlineStr">
        <is>
          <t>A confirmar</t>
        </is>
      </c>
      <c r="J95" s="2" t="inlineStr">
        <is>
          <t>A confirmar</t>
        </is>
      </c>
      <c r="K95" s="3" t="inlineStr">
        <is>
          <t>Procedimiento identificado por JL, sin tareas propias cargadas todavia</t>
        </is>
      </c>
      <c r="L95" s="2" t="inlineStr">
        <is>
          <t>Alta</t>
        </is>
      </c>
      <c r="M95" s="3" t="inlineStr">
        <is>
          <t>JL (18/08/2026): cada horario de offline tiene su propio informe/analisis/coordinacion/mail/objetivo</t>
        </is>
      </c>
    </row>
    <row r="96">
      <c r="A96" s="2" t="inlineStr">
        <is>
          <t>Offline</t>
        </is>
      </c>
      <c r="B96" s="2" t="inlineStr">
        <is>
          <t>Offline de las 7</t>
        </is>
      </c>
      <c r="C96" s="3" t="inlineStr">
        <is>
          <t>Pendiente de cargar (gap): informe, analisis, coordinacion ST, mail semanal, objetivo</t>
        </is>
      </c>
      <c r="D96" s="3" t="inlineStr">
        <is>
          <t>A completar</t>
        </is>
      </c>
      <c r="E96" s="5" t="inlineStr">
        <is>
          <t>Debería hacerse (falta)</t>
        </is>
      </c>
      <c r="F96" s="2" t="inlineStr">
        <is>
          <t>AB</t>
        </is>
      </c>
      <c r="G96" s="2" t="inlineStr">
        <is>
          <t>A confirmar</t>
        </is>
      </c>
      <c r="H96" s="2" t="inlineStr">
        <is>
          <t>A confirmar</t>
        </is>
      </c>
      <c r="I96" s="2" t="inlineStr">
        <is>
          <t>A confirmar</t>
        </is>
      </c>
      <c r="J96" s="2" t="inlineStr">
        <is>
          <t>A confirmar</t>
        </is>
      </c>
      <c r="K96" s="3" t="inlineStr">
        <is>
          <t>Procedimiento identificado por JL, sin tareas propias cargadas todavia</t>
        </is>
      </c>
      <c r="L96" s="2" t="inlineStr">
        <is>
          <t>Alta</t>
        </is>
      </c>
      <c r="M96" s="3" t="inlineStr">
        <is>
          <t>JL (18/08/2026)</t>
        </is>
      </c>
    </row>
    <row r="97">
      <c r="A97" s="2" t="inlineStr">
        <is>
          <t>Offline</t>
        </is>
      </c>
      <c r="B97" s="2" t="inlineStr">
        <is>
          <t>Offline de las 11</t>
        </is>
      </c>
      <c r="C97" s="3" t="inlineStr">
        <is>
          <t>Pendiente de cargar (gap): informe, analisis, coordinacion ST, mail semanal, objetivo</t>
        </is>
      </c>
      <c r="D97" s="3" t="inlineStr">
        <is>
          <t>A completar</t>
        </is>
      </c>
      <c r="E97" s="5" t="inlineStr">
        <is>
          <t>Debería hacerse (falta)</t>
        </is>
      </c>
      <c r="F97" s="2" t="inlineStr">
        <is>
          <t>AB</t>
        </is>
      </c>
      <c r="G97" s="2" t="inlineStr">
        <is>
          <t>A confirmar</t>
        </is>
      </c>
      <c r="H97" s="2" t="inlineStr">
        <is>
          <t>A confirmar</t>
        </is>
      </c>
      <c r="I97" s="2" t="inlineStr">
        <is>
          <t>A confirmar</t>
        </is>
      </c>
      <c r="J97" s="2" t="inlineStr">
        <is>
          <t>A confirmar</t>
        </is>
      </c>
      <c r="K97" s="3" t="inlineStr">
        <is>
          <t>Procedimiento identificado por JL, sin tareas propias cargadas todavia</t>
        </is>
      </c>
      <c r="L97" s="2" t="inlineStr">
        <is>
          <t>Alta</t>
        </is>
      </c>
      <c r="M97" s="3" t="inlineStr">
        <is>
          <t>JL (18/08/2026)</t>
        </is>
      </c>
    </row>
    <row r="98">
      <c r="A98" s="2" t="inlineStr">
        <is>
          <t>Offline</t>
        </is>
      </c>
      <c r="B98" s="2" t="inlineStr">
        <is>
          <t>Horario sin asignar (a confirmar cual de los 3)</t>
        </is>
      </c>
      <c r="C98" s="3" t="inlineStr">
        <is>
          <t>Offline - Analisis general</t>
        </is>
      </c>
      <c r="D98" s="3" t="inlineStr">
        <is>
          <t>A completar</t>
        </is>
      </c>
      <c r="E98" s="4" t="inlineStr">
        <is>
          <t>Se hace</t>
        </is>
      </c>
      <c r="F98" s="2" t="inlineStr">
        <is>
          <t>AB</t>
        </is>
      </c>
      <c r="G98" s="2" t="inlineStr">
        <is>
          <t>Diario</t>
        </is>
      </c>
      <c r="H98" s="2" t="inlineStr">
        <is>
          <t>30</t>
        </is>
      </c>
      <c r="I98" s="2" t="inlineStr">
        <is>
          <t>22</t>
        </is>
      </c>
      <c r="J98" s="2" t="inlineStr">
        <is>
          <t>No calcular aun</t>
        </is>
      </c>
      <c r="K98" s="3" t="inlineStr"/>
      <c r="L98" s="2" t="inlineStr"/>
      <c r="M98" s="3" t="inlineStr">
        <is>
          <t>Dia/momento: Primer dia. Falta confirmar a cual horario (4, 7 u 11) corresponde. | Tiempo de origen (planilla Procesos Diarios) sin validar - no usar para calcular horas hasta confirmar con AB/RM</t>
        </is>
      </c>
    </row>
    <row r="99">
      <c r="A99" s="2" t="inlineStr">
        <is>
          <t>Offline</t>
        </is>
      </c>
      <c r="B99" s="2" t="inlineStr">
        <is>
          <t>Horario sin asignar (a confirmar cual de los 3)</t>
        </is>
      </c>
      <c r="C99" s="3" t="inlineStr">
        <is>
          <t>Offline - Coordinacion con ST</t>
        </is>
      </c>
      <c r="D99" s="3" t="inlineStr">
        <is>
          <t>A completar</t>
        </is>
      </c>
      <c r="E99" s="4" t="inlineStr">
        <is>
          <t>Se hace</t>
        </is>
      </c>
      <c r="F99" s="2" t="inlineStr">
        <is>
          <t>AB</t>
        </is>
      </c>
      <c r="G99" s="2" t="inlineStr">
        <is>
          <t>Diario</t>
        </is>
      </c>
      <c r="H99" s="2" t="inlineStr">
        <is>
          <t>5</t>
        </is>
      </c>
      <c r="I99" s="2" t="inlineStr">
        <is>
          <t>22</t>
        </is>
      </c>
      <c r="J99" s="2" t="inlineStr">
        <is>
          <t>No calcular aun</t>
        </is>
      </c>
      <c r="K99" s="3" t="inlineStr"/>
      <c r="L99" s="2" t="inlineStr"/>
      <c r="M99" s="3" t="inlineStr">
        <is>
          <t>Dia/momento: Primer dia. Falta confirmar a cual horario (4, 7 u 11) corresponde. | Tiempo de origen (planilla Procesos Diarios) sin validar - no usar para calcular horas hasta confirmar con AB/RM</t>
        </is>
      </c>
    </row>
    <row r="100">
      <c r="A100" s="2" t="inlineStr">
        <is>
          <t>Redes</t>
        </is>
      </c>
      <c r="B100" s="2" t="inlineStr">
        <is>
          <t>Telefonia IP</t>
        </is>
      </c>
      <c r="C100" s="3" t="inlineStr">
        <is>
          <t>Pendiente de desglose</t>
        </is>
      </c>
      <c r="D100" s="3" t="inlineStr">
        <is>
          <t>A completar</t>
        </is>
      </c>
      <c r="E100" s="4" t="inlineStr">
        <is>
          <t>Se hace</t>
        </is>
      </c>
      <c r="F100" s="2" t="inlineStr">
        <is>
          <t>AB (Ariel Bazan)</t>
        </is>
      </c>
      <c r="G100" s="2" t="inlineStr">
        <is>
          <t>A confirmar</t>
        </is>
      </c>
      <c r="H100" s="2" t="inlineStr">
        <is>
          <t>A confirmar</t>
        </is>
      </c>
      <c r="I100" s="2" t="inlineStr">
        <is>
          <t>A confirmar</t>
        </is>
      </c>
      <c r="J100" s="2" t="inlineStr">
        <is>
          <t>No calcular aun</t>
        </is>
      </c>
      <c r="K100" s="3" t="inlineStr"/>
      <c r="L100" s="2" t="inlineStr">
        <is>
          <t>Alta</t>
        </is>
      </c>
      <c r="M100" s="3" t="inlineStr">
        <is>
          <t>Procedimiento confirmado por JL (12/08/2026); sin tareas cargadas todavia</t>
        </is>
      </c>
    </row>
    <row r="101">
      <c r="A101" s="2" t="inlineStr">
        <is>
          <t>Redes</t>
        </is>
      </c>
      <c r="B101" s="2" t="inlineStr">
        <is>
          <t>Camaras IP</t>
        </is>
      </c>
      <c r="C101" s="3" t="inlineStr">
        <is>
          <t>Horario de Camaras</t>
        </is>
      </c>
      <c r="D101" s="3" t="inlineStr">
        <is>
          <t>A completar</t>
        </is>
      </c>
      <c r="E101" s="4" t="inlineStr">
        <is>
          <t>Se hace</t>
        </is>
      </c>
      <c r="F101" s="2" t="inlineStr">
        <is>
          <t>AB (Ariel Bazan)</t>
        </is>
      </c>
      <c r="G101" s="2" t="inlineStr">
        <is>
          <t>Semanal</t>
        </is>
      </c>
      <c r="H101" s="2" t="inlineStr">
        <is>
          <t>5</t>
        </is>
      </c>
      <c r="I101" s="2" t="inlineStr">
        <is>
          <t>4.33</t>
        </is>
      </c>
      <c r="J101" s="2" t="inlineStr">
        <is>
          <t>No calcular aun</t>
        </is>
      </c>
      <c r="K101" s="3" t="inlineStr"/>
      <c r="L101" s="2" t="inlineStr"/>
      <c r="M101" s="3" t="inlineStr">
        <is>
          <t>Dia/momento: Viernes (segun catalogo). | Tiempo de origen (planilla Procesos Diarios) sin validar - no usar para calcular horas hasta confirmar con AB/RM</t>
        </is>
      </c>
    </row>
    <row r="102">
      <c r="A102" s="2" t="inlineStr">
        <is>
          <t>Redes</t>
        </is>
      </c>
      <c r="B102" s="2" t="inlineStr">
        <is>
          <t>Computacion (todas las PCs)</t>
        </is>
      </c>
      <c r="C102" s="3" t="inlineStr">
        <is>
          <t>Norton (antivirus / seguridad)</t>
        </is>
      </c>
      <c r="D102" s="3" t="inlineStr">
        <is>
          <t>A completar</t>
        </is>
      </c>
      <c r="E102" s="4" t="inlineStr">
        <is>
          <t>Se hace</t>
        </is>
      </c>
      <c r="F102" s="2" t="inlineStr">
        <is>
          <t>AB (Ariel Bazan)</t>
        </is>
      </c>
      <c r="G102" s="2" t="inlineStr">
        <is>
          <t>Trimestral</t>
        </is>
      </c>
      <c r="H102" s="2" t="inlineStr">
        <is>
          <t>240</t>
        </is>
      </c>
      <c r="I102" s="2" t="inlineStr">
        <is>
          <t>0.33</t>
        </is>
      </c>
      <c r="J102" s="2" t="inlineStr">
        <is>
          <t>No calcular aun</t>
        </is>
      </c>
      <c r="K102" s="3" t="inlineStr"/>
      <c r="L102" s="2" t="inlineStr"/>
      <c r="M102" s="3" t="inlineStr">
        <is>
          <t>Dia/momento: Ene/Abr/Jul/Oct. Reubicada desde 'Administracion General (AB)'. JL sugiere separar a futuro 'Seguridad' (Norton) de 'Redes/IP' dentro de Computacion. | Tiempo de origen (planilla Procesos Diarios) sin validar - no usar para calcular horas hasta confirmar con AB/RM</t>
        </is>
      </c>
    </row>
    <row r="103">
      <c r="A103" s="2" t="inlineStr">
        <is>
          <t>Redes</t>
        </is>
      </c>
      <c r="B103" s="2" t="inlineStr">
        <is>
          <t>Impresoras IP</t>
        </is>
      </c>
      <c r="C103" s="3" t="inlineStr">
        <is>
          <t>Pendiente de desglose</t>
        </is>
      </c>
      <c r="D103" s="3" t="inlineStr">
        <is>
          <t>A completar</t>
        </is>
      </c>
      <c r="E103" s="4" t="inlineStr">
        <is>
          <t>Se hace</t>
        </is>
      </c>
      <c r="F103" s="2" t="inlineStr">
        <is>
          <t>AB (Ariel Bazan)</t>
        </is>
      </c>
      <c r="G103" s="2" t="inlineStr">
        <is>
          <t>A confirmar</t>
        </is>
      </c>
      <c r="H103" s="2" t="inlineStr">
        <is>
          <t>A confirmar</t>
        </is>
      </c>
      <c r="I103" s="2" t="inlineStr">
        <is>
          <t>A confirmar</t>
        </is>
      </c>
      <c r="J103" s="2" t="inlineStr">
        <is>
          <t>No calcular aun</t>
        </is>
      </c>
      <c r="K103" s="3" t="inlineStr"/>
      <c r="L103" s="2" t="inlineStr">
        <is>
          <t>Alta</t>
        </is>
      </c>
      <c r="M103" s="3" t="inlineStr">
        <is>
          <t>Procedimiento confirmado por JL (12/08/2026); sin tareas cargadas todavia</t>
        </is>
      </c>
    </row>
    <row r="104">
      <c r="A104" s="2" t="inlineStr">
        <is>
          <t>Stock</t>
        </is>
      </c>
      <c r="B104" s="2" t="inlineStr">
        <is>
          <t>Recepcion y Control de Stock Entrante</t>
        </is>
      </c>
      <c r="C104" s="3" t="inlineStr">
        <is>
          <t>Conteo de stock recibido</t>
        </is>
      </c>
      <c r="D104" s="3" t="inlineStr">
        <is>
          <t>A completar</t>
        </is>
      </c>
      <c r="E104" s="4" t="inlineStr">
        <is>
          <t>Se hace</t>
        </is>
      </c>
      <c r="F104" s="2" t="inlineStr">
        <is>
          <t>AB</t>
        </is>
      </c>
      <c r="G104" s="2" t="inlineStr">
        <is>
          <t>Semanal</t>
        </is>
      </c>
      <c r="H104" s="2" t="inlineStr">
        <is>
          <t>60</t>
        </is>
      </c>
      <c r="I104" s="2" t="inlineStr">
        <is>
          <t>4.33</t>
        </is>
      </c>
      <c r="J104" s="2" t="inlineStr">
        <is>
          <t>No calcular aun</t>
        </is>
      </c>
      <c r="K104" s="3" t="inlineStr"/>
      <c r="L104" s="2" t="inlineStr"/>
      <c r="M104" s="3" t="inlineStr">
        <is>
          <t>Tiempo de origen (planilla Procesos Diarios) sin validar - no usar para calcular horas hasta confirmar con AB/RM</t>
        </is>
      </c>
    </row>
    <row r="105">
      <c r="A105" s="2" t="inlineStr">
        <is>
          <t>Stock</t>
        </is>
      </c>
      <c r="B105" s="2" t="inlineStr">
        <is>
          <t>Recepcion y Control de Stock Entrante</t>
        </is>
      </c>
      <c r="C105" s="3" t="inlineStr">
        <is>
          <t>Control de stock recibido</t>
        </is>
      </c>
      <c r="D105" s="3" t="inlineStr">
        <is>
          <t>A completar</t>
        </is>
      </c>
      <c r="E105" s="4" t="inlineStr">
        <is>
          <t>Se hace</t>
        </is>
      </c>
      <c r="F105" s="2" t="inlineStr">
        <is>
          <t>AB</t>
        </is>
      </c>
      <c r="G105" s="2" t="inlineStr">
        <is>
          <t>Semanal</t>
        </is>
      </c>
      <c r="H105" s="2" t="inlineStr">
        <is>
          <t>90</t>
        </is>
      </c>
      <c r="I105" s="2" t="inlineStr">
        <is>
          <t>4.33</t>
        </is>
      </c>
      <c r="J105" s="2" t="inlineStr">
        <is>
          <t>No calcular aun</t>
        </is>
      </c>
      <c r="K105" s="3" t="inlineStr"/>
      <c r="L105" s="2" t="inlineStr"/>
      <c r="M105" s="3" t="inlineStr">
        <is>
          <t>Tiempo de origen (planilla Procesos Diarios) sin validar - no usar para calcular horas hasta confirmar con AB/RM</t>
        </is>
      </c>
    </row>
    <row r="106">
      <c r="A106" s="2" t="inlineStr">
        <is>
          <t>Stock</t>
        </is>
      </c>
      <c r="B106" s="2" t="inlineStr">
        <is>
          <t>Recepcion y Control de Stock Entrante</t>
        </is>
      </c>
      <c r="C106" s="3" t="inlineStr">
        <is>
          <t>Sellado y etiquetado de stock recibido</t>
        </is>
      </c>
      <c r="D106" s="3" t="inlineStr">
        <is>
          <t>A completar</t>
        </is>
      </c>
      <c r="E106" s="4" t="inlineStr">
        <is>
          <t>Se hace</t>
        </is>
      </c>
      <c r="F106" s="2" t="inlineStr">
        <is>
          <t>AB</t>
        </is>
      </c>
      <c r="G106" s="2" t="inlineStr">
        <is>
          <t>Semanal</t>
        </is>
      </c>
      <c r="H106" s="2" t="inlineStr">
        <is>
          <t>90</t>
        </is>
      </c>
      <c r="I106" s="2" t="inlineStr">
        <is>
          <t>4.33</t>
        </is>
      </c>
      <c r="J106" s="2" t="inlineStr">
        <is>
          <t>No calcular aun</t>
        </is>
      </c>
      <c r="K106" s="3" t="inlineStr"/>
      <c r="L106" s="2" t="inlineStr"/>
      <c r="M106" s="3" t="inlineStr">
        <is>
          <t>Tiempo de origen (planilla Procesos Diarios) sin validar - no usar para calcular horas hasta confirmar con AB/RM</t>
        </is>
      </c>
    </row>
    <row r="107">
      <c r="A107" s="2" t="inlineStr">
        <is>
          <t>Stock</t>
        </is>
      </c>
      <c r="B107" s="2" t="inlineStr">
        <is>
          <t>Recepcion y Control de Stock Entrante</t>
        </is>
      </c>
      <c r="C107" s="3" t="inlineStr">
        <is>
          <t>Almacenamiento de stock recibido</t>
        </is>
      </c>
      <c r="D107" s="3" t="inlineStr">
        <is>
          <t>A completar</t>
        </is>
      </c>
      <c r="E107" s="4" t="inlineStr">
        <is>
          <t>Se hace</t>
        </is>
      </c>
      <c r="F107" s="2" t="inlineStr">
        <is>
          <t>AB</t>
        </is>
      </c>
      <c r="G107" s="2" t="inlineStr">
        <is>
          <t>Semanal</t>
        </is>
      </c>
      <c r="H107" s="2" t="inlineStr">
        <is>
          <t>90</t>
        </is>
      </c>
      <c r="I107" s="2" t="inlineStr">
        <is>
          <t>4.33</t>
        </is>
      </c>
      <c r="J107" s="2" t="inlineStr">
        <is>
          <t>No calcular aun</t>
        </is>
      </c>
      <c r="K107" s="3" t="inlineStr"/>
      <c r="L107" s="2" t="inlineStr"/>
      <c r="M107" s="3" t="inlineStr">
        <is>
          <t>Tiempo de origen (planilla Procesos Diarios) sin validar - no usar para calcular horas hasta confirmar con AB/RM</t>
        </is>
      </c>
    </row>
    <row r="108">
      <c r="A108" s="2" t="inlineStr">
        <is>
          <t>Stock</t>
        </is>
      </c>
      <c r="B108" s="2" t="inlineStr">
        <is>
          <t>Gestion de Insumos</t>
        </is>
      </c>
      <c r="C108" s="3" t="inlineStr">
        <is>
          <t>Conteo de insumos (limpieza)</t>
        </is>
      </c>
      <c r="D108" s="3" t="inlineStr">
        <is>
          <t>A completar</t>
        </is>
      </c>
      <c r="E108" s="4" t="inlineStr">
        <is>
          <t>Se hace</t>
        </is>
      </c>
      <c r="F108" s="2" t="inlineStr">
        <is>
          <t>AB</t>
        </is>
      </c>
      <c r="G108" s="2" t="inlineStr">
        <is>
          <t>Mensual</t>
        </is>
      </c>
      <c r="H108" s="2" t="inlineStr">
        <is>
          <t>10</t>
        </is>
      </c>
      <c r="I108" s="2" t="inlineStr">
        <is>
          <t>1</t>
        </is>
      </c>
      <c r="J108" s="2" t="inlineStr">
        <is>
          <t>No calcular aun</t>
        </is>
      </c>
      <c r="K108" s="3" t="inlineStr"/>
      <c r="L108" s="2" t="inlineStr"/>
      <c r="M108" s="3" t="inlineStr">
        <is>
          <t>Dia/momento: Ultimo miercoles. | Tiempo de origen (planilla Procesos Diarios) sin validar - no usar para calcular horas hasta confirmar con AB/RM</t>
        </is>
      </c>
    </row>
    <row r="109">
      <c r="A109" s="2" t="inlineStr">
        <is>
          <t>Stock</t>
        </is>
      </c>
      <c r="B109" s="2" t="inlineStr">
        <is>
          <t>Gestion de Insumos</t>
        </is>
      </c>
      <c r="C109" s="3" t="inlineStr">
        <is>
          <t>Solicitud de insumos (limpieza)</t>
        </is>
      </c>
      <c r="D109" s="3" t="inlineStr">
        <is>
          <t>A completar</t>
        </is>
      </c>
      <c r="E109" s="4" t="inlineStr">
        <is>
          <t>Se hace</t>
        </is>
      </c>
      <c r="F109" s="2" t="inlineStr">
        <is>
          <t>AB</t>
        </is>
      </c>
      <c r="G109" s="2" t="inlineStr">
        <is>
          <t>Mensual</t>
        </is>
      </c>
      <c r="H109" s="2" t="inlineStr">
        <is>
          <t>A confirmar</t>
        </is>
      </c>
      <c r="I109" s="2" t="inlineStr">
        <is>
          <t>1</t>
        </is>
      </c>
      <c r="J109" s="2" t="inlineStr">
        <is>
          <t>A confirmar</t>
        </is>
      </c>
      <c r="K109" s="3" t="inlineStr"/>
      <c r="L109" s="2" t="inlineStr"/>
      <c r="M109" s="3" t="inlineStr">
        <is>
          <t>Dia/momento: Ultimo miercoles. Nombre parcialmente ilegible en el PDF - confirmar</t>
        </is>
      </c>
    </row>
    <row r="110">
      <c r="A110" s="2" t="inlineStr">
        <is>
          <t>Stock</t>
        </is>
      </c>
      <c r="B110" s="2" t="inlineStr">
        <is>
          <t>Gestion de Insumos</t>
        </is>
      </c>
      <c r="C110" s="3" t="inlineStr">
        <is>
          <t>Conteo de insumos (cocina)</t>
        </is>
      </c>
      <c r="D110" s="3" t="inlineStr">
        <is>
          <t>A completar</t>
        </is>
      </c>
      <c r="E110" s="4" t="inlineStr">
        <is>
          <t>Se hace</t>
        </is>
      </c>
      <c r="F110" s="2" t="inlineStr">
        <is>
          <t>AB</t>
        </is>
      </c>
      <c r="G110" s="2" t="inlineStr">
        <is>
          <t>Mensual</t>
        </is>
      </c>
      <c r="H110" s="2" t="inlineStr">
        <is>
          <t>10</t>
        </is>
      </c>
      <c r="I110" s="2" t="inlineStr">
        <is>
          <t>1</t>
        </is>
      </c>
      <c r="J110" s="2" t="inlineStr">
        <is>
          <t>No calcular aun</t>
        </is>
      </c>
      <c r="K110" s="3" t="inlineStr"/>
      <c r="L110" s="2" t="inlineStr"/>
      <c r="M110" s="3" t="inlineStr">
        <is>
          <t>Dia/momento: Ultimo miercoles. | Tiempo de origen (planilla Procesos Diarios) sin validar - no usar para calcular horas hasta confirmar con AB/RM</t>
        </is>
      </c>
    </row>
    <row r="111">
      <c r="A111" s="2" t="inlineStr">
        <is>
          <t>Stock</t>
        </is>
      </c>
      <c r="B111" s="2" t="inlineStr">
        <is>
          <t>Gestion de Insumos</t>
        </is>
      </c>
      <c r="C111" s="3" t="inlineStr">
        <is>
          <t>Compra de insumos (cocina)</t>
        </is>
      </c>
      <c r="D111" s="3" t="inlineStr">
        <is>
          <t>A completar</t>
        </is>
      </c>
      <c r="E111" s="4" t="inlineStr">
        <is>
          <t>Se hace</t>
        </is>
      </c>
      <c r="F111" s="2" t="inlineStr">
        <is>
          <t>AB</t>
        </is>
      </c>
      <c r="G111" s="2" t="inlineStr">
        <is>
          <t>Mensual</t>
        </is>
      </c>
      <c r="H111" s="2" t="inlineStr">
        <is>
          <t>A confirmar</t>
        </is>
      </c>
      <c r="I111" s="2" t="inlineStr">
        <is>
          <t>1</t>
        </is>
      </c>
      <c r="J111" s="2" t="inlineStr">
        <is>
          <t>A confirmar</t>
        </is>
      </c>
      <c r="K111" s="3" t="inlineStr"/>
      <c r="L111" s="2" t="inlineStr"/>
      <c r="M111" s="3" t="inlineStr">
        <is>
          <t>Dia/momento: Ultimo miercoles. Nombre parcialmente ilegible en el PDF - confirmar</t>
        </is>
      </c>
    </row>
    <row r="112">
      <c r="A112" s="2" t="inlineStr">
        <is>
          <t>Stock</t>
        </is>
      </c>
      <c r="B112" s="2" t="inlineStr">
        <is>
          <t>Gestion de Insumos</t>
        </is>
      </c>
      <c r="C112" s="3" t="inlineStr">
        <is>
          <t>Conteo de insumos (libreria)</t>
        </is>
      </c>
      <c r="D112" s="3" t="inlineStr">
        <is>
          <t>A completar</t>
        </is>
      </c>
      <c r="E112" s="4" t="inlineStr">
        <is>
          <t>Se hace</t>
        </is>
      </c>
      <c r="F112" s="2" t="inlineStr">
        <is>
          <t>AB</t>
        </is>
      </c>
      <c r="G112" s="2" t="inlineStr">
        <is>
          <t>Mensual</t>
        </is>
      </c>
      <c r="H112" s="2" t="inlineStr">
        <is>
          <t>10</t>
        </is>
      </c>
      <c r="I112" s="2" t="inlineStr">
        <is>
          <t>1</t>
        </is>
      </c>
      <c r="J112" s="2" t="inlineStr">
        <is>
          <t>No calcular aun</t>
        </is>
      </c>
      <c r="K112" s="3" t="inlineStr"/>
      <c r="L112" s="2" t="inlineStr"/>
      <c r="M112" s="3" t="inlineStr">
        <is>
          <t>Dia/momento: Ultimo miercoles. | Tiempo de origen (planilla Procesos Diarios) sin validar - no usar para calcular horas hasta confirmar con AB/RM</t>
        </is>
      </c>
    </row>
    <row r="113">
      <c r="A113" s="2" t="inlineStr">
        <is>
          <t>Stock</t>
        </is>
      </c>
      <c r="B113" s="2" t="inlineStr">
        <is>
          <t>Gestion de Insumos</t>
        </is>
      </c>
      <c r="C113" s="3" t="inlineStr">
        <is>
          <t>Solicitud de insumos (libreria)</t>
        </is>
      </c>
      <c r="D113" s="3" t="inlineStr">
        <is>
          <t>A completar</t>
        </is>
      </c>
      <c r="E113" s="4" t="inlineStr">
        <is>
          <t>Se hace</t>
        </is>
      </c>
      <c r="F113" s="2" t="inlineStr">
        <is>
          <t>AB</t>
        </is>
      </c>
      <c r="G113" s="2" t="inlineStr">
        <is>
          <t>Mensual</t>
        </is>
      </c>
      <c r="H113" s="2" t="inlineStr">
        <is>
          <t>20</t>
        </is>
      </c>
      <c r="I113" s="2" t="inlineStr">
        <is>
          <t>1</t>
        </is>
      </c>
      <c r="J113" s="2" t="inlineStr">
        <is>
          <t>No calcular aun</t>
        </is>
      </c>
      <c r="K113" s="3" t="inlineStr"/>
      <c r="L113" s="2" t="inlineStr"/>
      <c r="M113" s="3" t="inlineStr">
        <is>
          <t>Dia/momento: Ultimo miercoles. | Tiempo de origen (planilla Procesos Diarios) sin validar - no usar para calcular horas hasta confirmar con AB/RM</t>
        </is>
      </c>
    </row>
    <row r="114">
      <c r="A114" s="2" t="inlineStr">
        <is>
          <t>Stock</t>
        </is>
      </c>
      <c r="B114" s="2" t="inlineStr">
        <is>
          <t>Gestion de Insumos</t>
        </is>
      </c>
      <c r="C114" s="3" t="inlineStr">
        <is>
          <t>Conteo de insumos (botiquin)</t>
        </is>
      </c>
      <c r="D114" s="3" t="inlineStr">
        <is>
          <t>A completar</t>
        </is>
      </c>
      <c r="E114" s="4" t="inlineStr">
        <is>
          <t>Se hace</t>
        </is>
      </c>
      <c r="F114" s="2" t="inlineStr">
        <is>
          <t>AB</t>
        </is>
      </c>
      <c r="G114" s="2" t="inlineStr">
        <is>
          <t>Mensual</t>
        </is>
      </c>
      <c r="H114" s="2" t="inlineStr">
        <is>
          <t>10</t>
        </is>
      </c>
      <c r="I114" s="2" t="inlineStr">
        <is>
          <t>1</t>
        </is>
      </c>
      <c r="J114" s="2" t="inlineStr">
        <is>
          <t>No calcular aun</t>
        </is>
      </c>
      <c r="K114" s="3" t="inlineStr"/>
      <c r="L114" s="2" t="inlineStr"/>
      <c r="M114" s="3" t="inlineStr">
        <is>
          <t>Dia/momento: Ultimo miercoles. | Tiempo de origen (planilla Procesos Diarios) sin validar - no usar para calcular horas hasta confirmar con AB/RM</t>
        </is>
      </c>
    </row>
    <row r="115">
      <c r="A115" s="2" t="inlineStr">
        <is>
          <t>Stock</t>
        </is>
      </c>
      <c r="B115" s="2" t="inlineStr">
        <is>
          <t>Gestion de Insumos</t>
        </is>
      </c>
      <c r="C115" s="3" t="inlineStr">
        <is>
          <t>Solicitud de insumos (botiquin)</t>
        </is>
      </c>
      <c r="D115" s="3" t="inlineStr">
        <is>
          <t>A completar</t>
        </is>
      </c>
      <c r="E115" s="4" t="inlineStr">
        <is>
          <t>Se hace</t>
        </is>
      </c>
      <c r="F115" s="2" t="inlineStr">
        <is>
          <t>AB</t>
        </is>
      </c>
      <c r="G115" s="2" t="inlineStr">
        <is>
          <t>Mensual</t>
        </is>
      </c>
      <c r="H115" s="2" t="inlineStr">
        <is>
          <t>20</t>
        </is>
      </c>
      <c r="I115" s="2" t="inlineStr">
        <is>
          <t>1</t>
        </is>
      </c>
      <c r="J115" s="2" t="inlineStr">
        <is>
          <t>No calcular aun</t>
        </is>
      </c>
      <c r="K115" s="3" t="inlineStr"/>
      <c r="L115" s="2" t="inlineStr"/>
      <c r="M115" s="3" t="inlineStr">
        <is>
          <t>Dia/momento: Ultimo miercoles. | Tiempo de origen (planilla Procesos Diarios) sin validar - no usar para calcular horas hasta confirmar con AB/RM</t>
        </is>
      </c>
    </row>
    <row r="116">
      <c r="A116" s="2" t="inlineStr">
        <is>
          <t>Stock</t>
        </is>
      </c>
      <c r="B116" s="2" t="inlineStr">
        <is>
          <t>Gestion de Insumos</t>
        </is>
      </c>
      <c r="C116" s="3" t="inlineStr">
        <is>
          <t>Cargar facturas de insumos</t>
        </is>
      </c>
      <c r="D116" s="3" t="inlineStr">
        <is>
          <t>A completar</t>
        </is>
      </c>
      <c r="E116" s="4" t="inlineStr">
        <is>
          <t>Se hace</t>
        </is>
      </c>
      <c r="F116" s="2" t="inlineStr">
        <is>
          <t>AB</t>
        </is>
      </c>
      <c r="G116" s="2" t="inlineStr">
        <is>
          <t>Semanal</t>
        </is>
      </c>
      <c r="H116" s="2" t="inlineStr">
        <is>
          <t>30</t>
        </is>
      </c>
      <c r="I116" s="2" t="inlineStr">
        <is>
          <t>4.33</t>
        </is>
      </c>
      <c r="J116" s="2" t="inlineStr">
        <is>
          <t>No calcular aun</t>
        </is>
      </c>
      <c r="K116" s="3" t="inlineStr"/>
      <c r="L116" s="2" t="inlineStr"/>
      <c r="M116" s="3" t="inlineStr">
        <is>
          <t>Dia/momento: Jueves. | Tiempo de origen (planilla Procesos Diarios) sin validar - no usar para calcular horas hasta confirmar con AB/RM</t>
        </is>
      </c>
    </row>
    <row r="117">
      <c r="A117" s="2" t="inlineStr">
        <is>
          <t>Stock</t>
        </is>
      </c>
      <c r="B117" s="2" t="inlineStr">
        <is>
          <t>Impresion de Documentacion</t>
        </is>
      </c>
      <c r="C117" s="3" t="inlineStr">
        <is>
          <t>Impresion de Remito (egreso de equipos)</t>
        </is>
      </c>
      <c r="D117" s="3" t="inlineStr">
        <is>
          <t>A completar</t>
        </is>
      </c>
      <c r="E117" s="4" t="inlineStr">
        <is>
          <t>Se hace</t>
        </is>
      </c>
      <c r="F117" s="2" t="inlineStr">
        <is>
          <t>AB</t>
        </is>
      </c>
      <c r="G117" s="2" t="inlineStr">
        <is>
          <t>Mensual (ideal: bimestral/trimestral)</t>
        </is>
      </c>
      <c r="H117" s="2" t="inlineStr">
        <is>
          <t>60</t>
        </is>
      </c>
      <c r="I117" s="2" t="inlineStr">
        <is>
          <t>1</t>
        </is>
      </c>
      <c r="J117" s="2" t="inlineStr">
        <is>
          <t>No calcular aun</t>
        </is>
      </c>
      <c r="K117" s="3" t="inlineStr"/>
      <c r="L117" s="2" t="inlineStr">
        <is>
          <t>Media</t>
        </is>
      </c>
      <c r="M117" s="3" t="inlineStr">
        <is>
          <t>Dia/momento: Ultimo miercoles. JL: hoy marcada mensual pero la idea es que sea bimensual/trimestral, imprimiendo de mas para no repetir seguido. Antes en 'Administracion General (AB)' como 'Control e impresion de R.E.E.'. | Tiempo de origen (planilla Procesos Diarios) sin validar - no usar para calcular horas hasta confirmar con AB/RM</t>
        </is>
      </c>
    </row>
    <row r="118">
      <c r="A118" s="2" t="inlineStr">
        <is>
          <t>Stock</t>
        </is>
      </c>
      <c r="B118" s="2" t="inlineStr">
        <is>
          <t>Impresion de Documentacion</t>
        </is>
      </c>
      <c r="C118" s="3" t="inlineStr">
        <is>
          <t>Impresion de Entrega de Instalacion</t>
        </is>
      </c>
      <c r="D118" s="3" t="inlineStr">
        <is>
          <t>A completar</t>
        </is>
      </c>
      <c r="E118" s="5" t="inlineStr">
        <is>
          <t>Debería hacerse (falta)</t>
        </is>
      </c>
      <c r="F118" s="2" t="inlineStr">
        <is>
          <t>AB</t>
        </is>
      </c>
      <c r="G118" s="2" t="inlineStr">
        <is>
          <t>A confirmar</t>
        </is>
      </c>
      <c r="H118" s="2" t="inlineStr">
        <is>
          <t>A confirmar</t>
        </is>
      </c>
      <c r="I118" s="2" t="inlineStr">
        <is>
          <t>A confirmar</t>
        </is>
      </c>
      <c r="J118" s="2" t="inlineStr">
        <is>
          <t>A confirmar</t>
        </is>
      </c>
      <c r="K118" s="3" t="inlineStr">
        <is>
          <t>Tarea nueva mencionada por JL (18/08/2026), sin tiempo/frecuencia cargada</t>
        </is>
      </c>
      <c r="L118" s="2" t="inlineStr">
        <is>
          <t>Media</t>
        </is>
      </c>
      <c r="M118" s="3" t="inlineStr">
        <is>
          <t>Probablemente compartida con RM (ver Impresion de O.D.S. en la lista de RM)</t>
        </is>
      </c>
    </row>
    <row r="119">
      <c r="A119" s="2" t="inlineStr">
        <is>
          <t>Stock</t>
        </is>
      </c>
      <c r="B119" s="2" t="inlineStr">
        <is>
          <t>Impresion de Documentacion</t>
        </is>
      </c>
      <c r="C119" s="3" t="inlineStr">
        <is>
          <t>Impresion de Directivas Tecnicas</t>
        </is>
      </c>
      <c r="D119" s="3" t="inlineStr">
        <is>
          <t>A completar</t>
        </is>
      </c>
      <c r="E119" s="5" t="inlineStr">
        <is>
          <t>Debería hacerse (falta)</t>
        </is>
      </c>
      <c r="F119" s="2" t="inlineStr">
        <is>
          <t>AB</t>
        </is>
      </c>
      <c r="G119" s="2" t="inlineStr">
        <is>
          <t>A confirmar</t>
        </is>
      </c>
      <c r="H119" s="2" t="inlineStr">
        <is>
          <t>A confirmar</t>
        </is>
      </c>
      <c r="I119" s="2" t="inlineStr">
        <is>
          <t>A confirmar</t>
        </is>
      </c>
      <c r="J119" s="2" t="inlineStr">
        <is>
          <t>A confirmar</t>
        </is>
      </c>
      <c r="K119" s="3" t="inlineStr">
        <is>
          <t>Tarea nueva mencionada por JL (18/08/2026), sin tiempo/frecuencia cargada</t>
        </is>
      </c>
      <c r="L119" s="2" t="inlineStr">
        <is>
          <t>Media</t>
        </is>
      </c>
      <c r="M119" s="3" t="inlineStr">
        <is>
          <t>Probablemente relacionada con 'Carga de Directivas tecnicas' de RM</t>
        </is>
      </c>
    </row>
    <row r="120">
      <c r="A120" s="2" t="inlineStr">
        <is>
          <t>Stock</t>
        </is>
      </c>
      <c r="B120" s="2" t="inlineStr">
        <is>
          <t>Impresion de Documentacion</t>
        </is>
      </c>
      <c r="C120" s="3" t="inlineStr">
        <is>
          <t>Impresion de Relevamientos</t>
        </is>
      </c>
      <c r="D120" s="3" t="inlineStr">
        <is>
          <t>A completar</t>
        </is>
      </c>
      <c r="E120" s="5" t="inlineStr">
        <is>
          <t>Debería hacerse (falta)</t>
        </is>
      </c>
      <c r="F120" s="2" t="inlineStr">
        <is>
          <t>AB</t>
        </is>
      </c>
      <c r="G120" s="2" t="inlineStr">
        <is>
          <t>A confirmar</t>
        </is>
      </c>
      <c r="H120" s="2" t="inlineStr">
        <is>
          <t>A confirmar</t>
        </is>
      </c>
      <c r="I120" s="2" t="inlineStr">
        <is>
          <t>A confirmar</t>
        </is>
      </c>
      <c r="J120" s="2" t="inlineStr">
        <is>
          <t>A confirmar</t>
        </is>
      </c>
      <c r="K120" s="3" t="inlineStr">
        <is>
          <t>Tarea nueva mencionada por JL (18/08/2026), sin tiempo/frecuencia cargada</t>
        </is>
      </c>
      <c r="L120" s="2" t="inlineStr">
        <is>
          <t>Media</t>
        </is>
      </c>
      <c r="M120" s="3" t="inlineStr"/>
    </row>
    <row r="121">
      <c r="A121" s="2" t="inlineStr">
        <is>
          <t>Stock</t>
        </is>
      </c>
      <c r="B121" s="2" t="inlineStr">
        <is>
          <t>Impresion de Documentacion</t>
        </is>
      </c>
      <c r="C121" s="3" t="inlineStr">
        <is>
          <t>Impresion de Guias de Usuario</t>
        </is>
      </c>
      <c r="D121" s="3" t="inlineStr">
        <is>
          <t>A completar</t>
        </is>
      </c>
      <c r="E121" s="5" t="inlineStr">
        <is>
          <t>Debería hacerse (falta)</t>
        </is>
      </c>
      <c r="F121" s="2" t="inlineStr">
        <is>
          <t>AB</t>
        </is>
      </c>
      <c r="G121" s="2" t="inlineStr">
        <is>
          <t>A confirmar</t>
        </is>
      </c>
      <c r="H121" s="2" t="inlineStr">
        <is>
          <t>A confirmar</t>
        </is>
      </c>
      <c r="I121" s="2" t="inlineStr">
        <is>
          <t>A confirmar</t>
        </is>
      </c>
      <c r="J121" s="2" t="inlineStr">
        <is>
          <t>A confirmar</t>
        </is>
      </c>
      <c r="K121" s="3" t="inlineStr">
        <is>
          <t>Tarea nueva mencionada por JL (18/08/2026), sin tiempo/frecuencia cargada</t>
        </is>
      </c>
      <c r="L121" s="2" t="inlineStr">
        <is>
          <t>Media</t>
        </is>
      </c>
      <c r="M121" s="3" t="inlineStr"/>
    </row>
    <row r="122">
      <c r="A122" s="2" t="inlineStr">
        <is>
          <t>Stock</t>
        </is>
      </c>
      <c r="B122" s="2" t="inlineStr">
        <is>
          <t>Impresion de Documentacion</t>
        </is>
      </c>
      <c r="C122" s="3" t="inlineStr">
        <is>
          <t>Impresion de Ordenes de Servicio</t>
        </is>
      </c>
      <c r="D122" s="3" t="inlineStr">
        <is>
          <t>A completar</t>
        </is>
      </c>
      <c r="E122" s="4" t="inlineStr">
        <is>
          <t>Se hace</t>
        </is>
      </c>
      <c r="F122" s="2" t="inlineStr">
        <is>
          <t>RM</t>
        </is>
      </c>
      <c r="G122" s="2" t="inlineStr">
        <is>
          <t>Mensual</t>
        </is>
      </c>
      <c r="H122" s="2" t="inlineStr">
        <is>
          <t>45</t>
        </is>
      </c>
      <c r="I122" s="2" t="inlineStr">
        <is>
          <t>1</t>
        </is>
      </c>
      <c r="J122" s="2" t="inlineStr">
        <is>
          <t>No calcular aun</t>
        </is>
      </c>
      <c r="K122" s="3" t="inlineStr"/>
      <c r="L122" s="2" t="inlineStr"/>
      <c r="M122" s="3" t="inlineStr">
        <is>
          <t>Dia/momento: Primer jueves. Ya existia como 'Control/Imprimir O.D.S.' en la lista de RM - se agrupa aca dentro de Stock &gt; Impresion de Documentacion. | Tiempo de origen (planilla Procesos Diarios) sin validar - no usar para calcular horas hasta confirmar con AB/RM</t>
        </is>
      </c>
    </row>
    <row r="123">
      <c r="A123" s="2" t="inlineStr">
        <is>
          <t>Stock</t>
        </is>
      </c>
      <c r="B123" s="2" t="inlineStr">
        <is>
          <t>Control de Flota / Vehiculos</t>
        </is>
      </c>
      <c r="C123" s="3" t="inlineStr">
        <is>
          <t>Control ITV vehiculo OYS427</t>
        </is>
      </c>
      <c r="D123" s="3" t="inlineStr">
        <is>
          <t>A completar</t>
        </is>
      </c>
      <c r="E123" s="4" t="inlineStr">
        <is>
          <t>Se hace</t>
        </is>
      </c>
      <c r="F123" s="2" t="inlineStr">
        <is>
          <t>AB</t>
        </is>
      </c>
      <c r="G123" s="2" t="inlineStr">
        <is>
          <t>Semestral</t>
        </is>
      </c>
      <c r="H123" s="2" t="inlineStr">
        <is>
          <t>120</t>
        </is>
      </c>
      <c r="I123" s="2" t="inlineStr">
        <is>
          <t>0.17</t>
        </is>
      </c>
      <c r="J123" s="2" t="inlineStr">
        <is>
          <t>No calcular aun</t>
        </is>
      </c>
      <c r="K123" s="3" t="inlineStr"/>
      <c r="L123" s="2" t="inlineStr"/>
      <c r="M123" s="3" t="inlineStr">
        <is>
          <t>Dia/momento: Nov/May. | Tiempo de origen (planilla Procesos Diarios) sin validar - no usar para calcular horas hasta confirmar con AB/RM</t>
        </is>
      </c>
    </row>
    <row r="124">
      <c r="A124" s="2" t="inlineStr">
        <is>
          <t>Stock</t>
        </is>
      </c>
      <c r="B124" s="2" t="inlineStr">
        <is>
          <t>Control de Flota / Vehiculos</t>
        </is>
      </c>
      <c r="C124" s="3" t="inlineStr">
        <is>
          <t>Control impuestos vehiculo OYS427</t>
        </is>
      </c>
      <c r="D124" s="3" t="inlineStr">
        <is>
          <t>A completar</t>
        </is>
      </c>
      <c r="E124" s="4" t="inlineStr">
        <is>
          <t>Se hace</t>
        </is>
      </c>
      <c r="F124" s="2" t="inlineStr">
        <is>
          <t>AB</t>
        </is>
      </c>
      <c r="G124" s="2" t="inlineStr">
        <is>
          <t>Semestral</t>
        </is>
      </c>
      <c r="H124" s="2" t="inlineStr">
        <is>
          <t>120</t>
        </is>
      </c>
      <c r="I124" s="2" t="inlineStr">
        <is>
          <t>0.17</t>
        </is>
      </c>
      <c r="J124" s="2" t="inlineStr">
        <is>
          <t>No calcular aun</t>
        </is>
      </c>
      <c r="K124" s="3" t="inlineStr"/>
      <c r="L124" s="2" t="inlineStr"/>
      <c r="M124" s="3" t="inlineStr">
        <is>
          <t>Dia/momento: Nov/May. | Tiempo de origen (planilla Procesos Diarios) sin validar - no usar para calcular horas hasta confirmar con AB/RM</t>
        </is>
      </c>
    </row>
    <row r="125">
      <c r="A125" s="2" t="inlineStr">
        <is>
          <t>Stock</t>
        </is>
      </c>
      <c r="B125" s="2" t="inlineStr">
        <is>
          <t>Control de Flota / Vehiculos</t>
        </is>
      </c>
      <c r="C125" s="3" t="inlineStr">
        <is>
          <t>Control ITV vehiculo AE533YE</t>
        </is>
      </c>
      <c r="D125" s="3" t="inlineStr">
        <is>
          <t>A completar</t>
        </is>
      </c>
      <c r="E125" s="4" t="inlineStr">
        <is>
          <t>Se hace</t>
        </is>
      </c>
      <c r="F125" s="2" t="inlineStr">
        <is>
          <t>AB</t>
        </is>
      </c>
      <c r="G125" s="2" t="inlineStr">
        <is>
          <t>Semestral</t>
        </is>
      </c>
      <c r="H125" s="2" t="inlineStr">
        <is>
          <t>120</t>
        </is>
      </c>
      <c r="I125" s="2" t="inlineStr">
        <is>
          <t>0.17</t>
        </is>
      </c>
      <c r="J125" s="2" t="inlineStr">
        <is>
          <t>No calcular aun</t>
        </is>
      </c>
      <c r="K125" s="3" t="inlineStr"/>
      <c r="L125" s="2" t="inlineStr"/>
      <c r="M125" s="3" t="inlineStr">
        <is>
          <t>Dia/momento: Nov/May. | Tiempo de origen (planilla Procesos Diarios) sin validar - no usar para calcular horas hasta confirmar con AB/RM</t>
        </is>
      </c>
    </row>
    <row r="126">
      <c r="A126" s="2" t="inlineStr">
        <is>
          <t>Stock</t>
        </is>
      </c>
      <c r="B126" s="2" t="inlineStr">
        <is>
          <t>Control de Flota / Vehiculos</t>
        </is>
      </c>
      <c r="C126" s="3" t="inlineStr">
        <is>
          <t>Control impuestos vehiculo AE533YE</t>
        </is>
      </c>
      <c r="D126" s="3" t="inlineStr">
        <is>
          <t>A completar</t>
        </is>
      </c>
      <c r="E126" s="4" t="inlineStr">
        <is>
          <t>Se hace</t>
        </is>
      </c>
      <c r="F126" s="2" t="inlineStr">
        <is>
          <t>AB</t>
        </is>
      </c>
      <c r="G126" s="2" t="inlineStr">
        <is>
          <t>Semestral</t>
        </is>
      </c>
      <c r="H126" s="2" t="inlineStr">
        <is>
          <t>120</t>
        </is>
      </c>
      <c r="I126" s="2" t="inlineStr">
        <is>
          <t>0.17</t>
        </is>
      </c>
      <c r="J126" s="2" t="inlineStr">
        <is>
          <t>No calcular aun</t>
        </is>
      </c>
      <c r="K126" s="3" t="inlineStr"/>
      <c r="L126" s="2" t="inlineStr"/>
      <c r="M126" s="3" t="inlineStr">
        <is>
          <t>Dia/momento: Nov/May. | Tiempo de origen (planilla Procesos Diarios) sin validar - no usar para calcular horas hasta confirmar con AB/RM</t>
        </is>
      </c>
    </row>
    <row r="127">
      <c r="A127" s="2" t="inlineStr">
        <is>
          <t>Stock</t>
        </is>
      </c>
      <c r="B127" s="2" t="inlineStr">
        <is>
          <t>Control de Flota / Vehiculos</t>
        </is>
      </c>
      <c r="C127" s="3" t="inlineStr">
        <is>
          <t>Control de deudas (por vehiculo)</t>
        </is>
      </c>
      <c r="D127" s="3" t="inlineStr">
        <is>
          <t>A completar</t>
        </is>
      </c>
      <c r="E127" s="5" t="inlineStr">
        <is>
          <t>Debería hacerse (falta)</t>
        </is>
      </c>
      <c r="F127" s="2" t="inlineStr">
        <is>
          <t>AB</t>
        </is>
      </c>
      <c r="G127" s="2" t="inlineStr">
        <is>
          <t>A confirmar</t>
        </is>
      </c>
      <c r="H127" s="2" t="inlineStr">
        <is>
          <t>A confirmar</t>
        </is>
      </c>
      <c r="I127" s="2" t="inlineStr">
        <is>
          <t>A confirmar</t>
        </is>
      </c>
      <c r="J127" s="2" t="inlineStr">
        <is>
          <t>A confirmar</t>
        </is>
      </c>
      <c r="K127" s="3" t="inlineStr">
        <is>
          <t>Tarea nueva identificada por JL (18/08/2026), sin tiempo/frecuencia cargada</t>
        </is>
      </c>
      <c r="L127" s="2" t="inlineStr">
        <is>
          <t>Alta</t>
        </is>
      </c>
      <c r="M127" s="3" t="inlineStr">
        <is>
          <t>Falta definir para cuales vehiculos y con que frecuencia</t>
        </is>
      </c>
    </row>
    <row r="128">
      <c r="A128" s="2" t="inlineStr">
        <is>
          <t>Stock</t>
        </is>
      </c>
      <c r="B128" s="2" t="inlineStr">
        <is>
          <t>Control de Flota / Vehiculos</t>
        </is>
      </c>
      <c r="C128" s="3" t="inlineStr">
        <is>
          <t>Control de multas (por vehiculo)</t>
        </is>
      </c>
      <c r="D128" s="3" t="inlineStr">
        <is>
          <t>A completar</t>
        </is>
      </c>
      <c r="E128" s="5" t="inlineStr">
        <is>
          <t>Debería hacerse (falta)</t>
        </is>
      </c>
      <c r="F128" s="2" t="inlineStr">
        <is>
          <t>AB</t>
        </is>
      </c>
      <c r="G128" s="2" t="inlineStr">
        <is>
          <t>A confirmar</t>
        </is>
      </c>
      <c r="H128" s="2" t="inlineStr">
        <is>
          <t>A confirmar</t>
        </is>
      </c>
      <c r="I128" s="2" t="inlineStr">
        <is>
          <t>A confirmar</t>
        </is>
      </c>
      <c r="J128" s="2" t="inlineStr">
        <is>
          <t>A confirmar</t>
        </is>
      </c>
      <c r="K128" s="3" t="inlineStr">
        <is>
          <t>Tarea nueva identificada por JL (18/08/2026), sin tiempo/frecuencia cargada</t>
        </is>
      </c>
      <c r="L128" s="2" t="inlineStr">
        <is>
          <t>Alta</t>
        </is>
      </c>
      <c r="M128" s="3" t="inlineStr">
        <is>
          <t>Falta definir para cuales vehiculos y con que frecuencia</t>
        </is>
      </c>
    </row>
    <row r="129">
      <c r="A129" s="2" t="inlineStr">
        <is>
          <t>Stock</t>
        </is>
      </c>
      <c r="B129" s="2" t="inlineStr">
        <is>
          <t>Control de Flota / Vehiculos</t>
        </is>
      </c>
      <c r="C129" s="3" t="inlineStr">
        <is>
          <t>GAP: 2 vehiculos sin control asignado</t>
        </is>
      </c>
      <c r="D129" s="3" t="inlineStr">
        <is>
          <t>Cubrir el control de toda la flota, no solo una parte</t>
        </is>
      </c>
      <c r="E129" s="5" t="inlineStr">
        <is>
          <t>Debería hacerse (falta)</t>
        </is>
      </c>
      <c r="F129" s="2" t="inlineStr">
        <is>
          <t>Sin asignar</t>
        </is>
      </c>
      <c r="G129" s="2" t="inlineStr">
        <is>
          <t>N/A</t>
        </is>
      </c>
      <c r="H129" s="2" t="inlineStr">
        <is>
          <t>N/A</t>
        </is>
      </c>
      <c r="I129" s="2" t="inlineStr">
        <is>
          <t>N/A</t>
        </is>
      </c>
      <c r="J129" s="2" t="inlineStr">
        <is>
          <t>N/A</t>
        </is>
      </c>
      <c r="K129" s="3" t="inlineStr">
        <is>
          <t>Empresa tiene 6 vehiculos en total (3 de los duenos + 3 de la empresa); hoy solo 4 estan controlados (2 por AB, 2 por RM)</t>
        </is>
      </c>
      <c r="L129" s="2" t="inlineStr">
        <is>
          <t>Alta</t>
        </is>
      </c>
      <c r="M129" s="3" t="inlineStr">
        <is>
          <t>JL (18/08/2026): 'las que tenemos que ver realmente son seis'</t>
        </is>
      </c>
    </row>
    <row r="130">
      <c r="A130" s="2" t="inlineStr">
        <is>
          <t>Stock</t>
        </is>
      </c>
      <c r="B130" s="2" t="inlineStr">
        <is>
          <t>Puesta en Valor de Equipos (nombre tentativo)</t>
        </is>
      </c>
      <c r="C130" s="3" t="inlineStr">
        <is>
          <t>Recuperacion de equipos CP4000</t>
        </is>
      </c>
      <c r="D130" s="3" t="inlineStr">
        <is>
          <t>Recuperar equipos usados / configurar equipos nuevos</t>
        </is>
      </c>
      <c r="E130" s="4" t="inlineStr">
        <is>
          <t>Se hace</t>
        </is>
      </c>
      <c r="F130" s="2" t="inlineStr">
        <is>
          <t>AB</t>
        </is>
      </c>
      <c r="G130" s="2" t="inlineStr">
        <is>
          <t>A confirmar</t>
        </is>
      </c>
      <c r="H130" s="2" t="inlineStr">
        <is>
          <t>A confirmar</t>
        </is>
      </c>
      <c r="I130" s="2" t="inlineStr">
        <is>
          <t>A confirmar</t>
        </is>
      </c>
      <c r="J130" s="2" t="inlineStr"/>
      <c r="K130" s="3" t="inlineStr"/>
      <c r="L130" s="2" t="inlineStr"/>
      <c r="M130" s="3" t="inlineStr">
        <is>
          <t>JL (18/08/2026): no sabia bien donde etiquetarla, la puso como nuevo procedimiento tentativo dentro de Stock</t>
        </is>
      </c>
    </row>
    <row r="131">
      <c r="A131" s="2" t="inlineStr">
        <is>
          <t>Stock</t>
        </is>
      </c>
      <c r="B131" s="2" t="inlineStr">
        <is>
          <t>Puesta en Valor de Equipos (nombre tentativo)</t>
        </is>
      </c>
      <c r="C131" s="3" t="inlineStr">
        <is>
          <t>Recuperacion de equipos AXpro</t>
        </is>
      </c>
      <c r="D131" s="3" t="inlineStr">
        <is>
          <t>Recuperar equipos usados / configurar equipos nuevos</t>
        </is>
      </c>
      <c r="E131" s="4" t="inlineStr">
        <is>
          <t>Se hace</t>
        </is>
      </c>
      <c r="F131" s="2" t="inlineStr">
        <is>
          <t>AB</t>
        </is>
      </c>
      <c r="G131" s="2" t="inlineStr">
        <is>
          <t>A confirmar</t>
        </is>
      </c>
      <c r="H131" s="2" t="inlineStr">
        <is>
          <t>A confirmar</t>
        </is>
      </c>
      <c r="I131" s="2" t="inlineStr">
        <is>
          <t>A confirmar</t>
        </is>
      </c>
      <c r="J131" s="2" t="inlineStr"/>
      <c r="K131" s="3" t="inlineStr"/>
      <c r="L131" s="2" t="inlineStr"/>
      <c r="M131" s="3" t="inlineStr">
        <is>
          <t>JL (18/08/2026): idem anterior</t>
        </is>
      </c>
    </row>
    <row r="132">
      <c r="A132" s="2" t="inlineStr">
        <is>
          <t>Stock</t>
        </is>
      </c>
      <c r="B132" s="2" t="inlineStr">
        <is>
          <t>Control de Stock - Sede NCS</t>
        </is>
      </c>
      <c r="C132" s="3" t="inlineStr">
        <is>
          <t>Reposicion de Stock NCS</t>
        </is>
      </c>
      <c r="D132" s="3" t="inlineStr">
        <is>
          <t>A completar</t>
        </is>
      </c>
      <c r="E132" s="4" t="inlineStr">
        <is>
          <t>Se hace</t>
        </is>
      </c>
      <c r="F132" s="2" t="inlineStr">
        <is>
          <t>AB</t>
        </is>
      </c>
      <c r="G132" s="2" t="inlineStr">
        <is>
          <t>Semanal</t>
        </is>
      </c>
      <c r="H132" s="2" t="inlineStr">
        <is>
          <t>60</t>
        </is>
      </c>
      <c r="I132" s="2" t="inlineStr">
        <is>
          <t>4.33</t>
        </is>
      </c>
      <c r="J132" s="2" t="inlineStr">
        <is>
          <t>No calcular aun</t>
        </is>
      </c>
      <c r="K132" s="3" t="inlineStr"/>
      <c r="L132" s="2" t="inlineStr"/>
      <c r="M132" s="3" t="inlineStr">
        <is>
          <t>Dia/momento: Jueves. Dia real relevado es jueves, no viernes - confirmar. | Tiempo de origen (planilla Procesos Diarios) sin validar - no usar para calcular horas hasta confirmar con AB/RM</t>
        </is>
      </c>
    </row>
    <row r="133">
      <c r="A133" s="2" t="inlineStr">
        <is>
          <t>Stock</t>
        </is>
      </c>
      <c r="B133" s="2" t="inlineStr">
        <is>
          <t>Control de Stock - Sede NCS</t>
        </is>
      </c>
      <c r="C133" s="3" t="inlineStr">
        <is>
          <t>Control de Stock NCS (sistema XBIS)</t>
        </is>
      </c>
      <c r="D133" s="3" t="inlineStr">
        <is>
          <t>A completar</t>
        </is>
      </c>
      <c r="E133" s="4" t="inlineStr">
        <is>
          <t>Se hace</t>
        </is>
      </c>
      <c r="F133" s="2" t="inlineStr">
        <is>
          <t>AB</t>
        </is>
      </c>
      <c r="G133" s="2" t="inlineStr">
        <is>
          <t>Semanal</t>
        </is>
      </c>
      <c r="H133" s="2" t="inlineStr">
        <is>
          <t>A confirmar</t>
        </is>
      </c>
      <c r="I133" s="2" t="inlineStr">
        <is>
          <t>4.33</t>
        </is>
      </c>
      <c r="J133" s="2" t="inlineStr">
        <is>
          <t>A confirmar</t>
        </is>
      </c>
      <c r="K133" s="3" t="inlineStr"/>
      <c r="L133" s="2" t="inlineStr"/>
      <c r="M133" s="3" t="inlineStr">
        <is>
          <t>Dia/momento: Miercoles. Antes era 1 sola tarea 'Control stock NCS y conteo (Ezviz/Easy)'; JL aclaro que son 2 sistemas distintos (XBIS y EZLink) - se separa en 2 tareas, falta tiempo de cada una</t>
        </is>
      </c>
    </row>
    <row r="134">
      <c r="A134" s="2" t="inlineStr">
        <is>
          <t>Stock</t>
        </is>
      </c>
      <c r="B134" s="2" t="inlineStr">
        <is>
          <t>Control de Stock - Sede NCS</t>
        </is>
      </c>
      <c r="C134" s="3" t="inlineStr">
        <is>
          <t>Control de Stock NCS (sistema EZLink)</t>
        </is>
      </c>
      <c r="D134" s="3" t="inlineStr">
        <is>
          <t>A completar</t>
        </is>
      </c>
      <c r="E134" s="4" t="inlineStr">
        <is>
          <t>Se hace</t>
        </is>
      </c>
      <c r="F134" s="2" t="inlineStr">
        <is>
          <t>AB</t>
        </is>
      </c>
      <c r="G134" s="2" t="inlineStr">
        <is>
          <t>Semanal</t>
        </is>
      </c>
      <c r="H134" s="2" t="inlineStr">
        <is>
          <t>A confirmar</t>
        </is>
      </c>
      <c r="I134" s="2" t="inlineStr">
        <is>
          <t>4.33</t>
        </is>
      </c>
      <c r="J134" s="2" t="inlineStr">
        <is>
          <t>A confirmar</t>
        </is>
      </c>
      <c r="K134" s="3" t="inlineStr"/>
      <c r="L134" s="2" t="inlineStr"/>
      <c r="M134" s="3" t="inlineStr">
        <is>
          <t>Dia/momento: Miercoles. Ver nota en la fila de XBIS</t>
        </is>
      </c>
    </row>
    <row r="135">
      <c r="A135" s="2" t="inlineStr">
        <is>
          <t>Stock</t>
        </is>
      </c>
      <c r="B135" s="2" t="inlineStr">
        <is>
          <t>Control de Receptoras</t>
        </is>
      </c>
      <c r="C135" s="3" t="inlineStr">
        <is>
          <t>Control de buen estado receptoras IPR512 (R-04)</t>
        </is>
      </c>
      <c r="D135" s="3" t="inlineStr">
        <is>
          <t>Corroborar que las receptoras funcionen correctamente</t>
        </is>
      </c>
      <c r="E135" s="4" t="inlineStr">
        <is>
          <t>Se hace</t>
        </is>
      </c>
      <c r="F135" s="2" t="inlineStr">
        <is>
          <t>AB</t>
        </is>
      </c>
      <c r="G135" s="2" t="inlineStr">
        <is>
          <t>Diario</t>
        </is>
      </c>
      <c r="H135" s="2" t="inlineStr">
        <is>
          <t>10</t>
        </is>
      </c>
      <c r="I135" s="2" t="inlineStr">
        <is>
          <t>22</t>
        </is>
      </c>
      <c r="J135" s="2" t="inlineStr">
        <is>
          <t>No calcular aun</t>
        </is>
      </c>
      <c r="K135" s="3" t="inlineStr"/>
      <c r="L135" s="2" t="inlineStr"/>
      <c r="M135" s="3" t="inlineStr">
        <is>
          <t>Tiempo de origen (planilla Procesos Diarios) sin validar - no usar para calcular horas hasta confirmar con AB/RM</t>
        </is>
      </c>
    </row>
    <row r="136">
      <c r="A136" s="2" t="inlineStr">
        <is>
          <t>Stock</t>
        </is>
      </c>
      <c r="B136" s="2" t="inlineStr">
        <is>
          <t>Control de Receptoras</t>
        </is>
      </c>
      <c r="C136" s="3" t="inlineStr">
        <is>
          <t>Mandar mensajes a AVATEC 01</t>
        </is>
      </c>
      <c r="D136" s="3" t="inlineStr">
        <is>
          <t>Corroborar que los dispositivos AVATEC del datacenter funcionen correctamente</t>
        </is>
      </c>
      <c r="E136" s="4" t="inlineStr">
        <is>
          <t>Se hace</t>
        </is>
      </c>
      <c r="F136" s="2" t="inlineStr">
        <is>
          <t>AB</t>
        </is>
      </c>
      <c r="G136" s="2" t="inlineStr">
        <is>
          <t>Diario</t>
        </is>
      </c>
      <c r="H136" s="2" t="inlineStr">
        <is>
          <t>10</t>
        </is>
      </c>
      <c r="I136" s="2" t="inlineStr">
        <is>
          <t>22</t>
        </is>
      </c>
      <c r="J136" s="2" t="inlineStr">
        <is>
          <t>No calcular aun</t>
        </is>
      </c>
      <c r="K136" s="3" t="inlineStr"/>
      <c r="L136" s="2" t="inlineStr"/>
      <c r="M136" s="3" t="inlineStr">
        <is>
          <t>Reubicada desde 'Administracion General (AB)'. | Tiempo de origen (planilla Procesos Diarios) sin validar - no usar para calcular horas hasta confirmar con AB/RM</t>
        </is>
      </c>
    </row>
    <row r="137">
      <c r="A137" s="2" t="inlineStr">
        <is>
          <t>Stock</t>
        </is>
      </c>
      <c r="B137" s="2" t="inlineStr">
        <is>
          <t>Control de Receptoras</t>
        </is>
      </c>
      <c r="C137" s="3" t="inlineStr">
        <is>
          <t>GAP: protocolo cuando una receptora no funciona</t>
        </is>
      </c>
      <c r="D137" s="3" t="inlineStr">
        <is>
          <t>Definir que hacer ante una falla, no solo detectarla</t>
        </is>
      </c>
      <c r="E137" s="5" t="inlineStr">
        <is>
          <t>Debería hacerse (falta)</t>
        </is>
      </c>
      <c r="F137" s="2" t="inlineStr">
        <is>
          <t>Sin asignar</t>
        </is>
      </c>
      <c r="G137" s="2" t="inlineStr">
        <is>
          <t>N/A</t>
        </is>
      </c>
      <c r="H137" s="2" t="inlineStr">
        <is>
          <t>N/A</t>
        </is>
      </c>
      <c r="I137" s="2" t="inlineStr">
        <is>
          <t>N/A</t>
        </is>
      </c>
      <c r="J137" s="2" t="inlineStr">
        <is>
          <t>N/A</t>
        </is>
      </c>
      <c r="K137" s="3" t="inlineStr">
        <is>
          <t>No existe procedimiento definido para el caso de falla</t>
        </is>
      </c>
      <c r="L137" s="2" t="inlineStr">
        <is>
          <t>Alta</t>
        </is>
      </c>
      <c r="M137" s="3" t="inlineStr">
        <is>
          <t>JL (18/08/2026): 'habria que hacer un proceso de saber que hacer cuando no funcionan correctamente'</t>
        </is>
      </c>
    </row>
    <row r="138">
      <c r="A138" s="2" t="inlineStr">
        <is>
          <t>Stock</t>
        </is>
      </c>
      <c r="B138" s="2" t="inlineStr">
        <is>
          <t>Control de Carteleria</t>
        </is>
      </c>
      <c r="C138" s="3" t="inlineStr">
        <is>
          <t>Control de carteleria</t>
        </is>
      </c>
      <c r="D138" s="3" t="inlineStr">
        <is>
          <t>Saber si hay stock de carteles para el mes y hacer la solicitud</t>
        </is>
      </c>
      <c r="E138" s="4" t="inlineStr">
        <is>
          <t>Se hace</t>
        </is>
      </c>
      <c r="F138" s="2" t="inlineStr">
        <is>
          <t>AB</t>
        </is>
      </c>
      <c r="G138" s="2" t="inlineStr">
        <is>
          <t>Mensual</t>
        </is>
      </c>
      <c r="H138" s="2" t="inlineStr">
        <is>
          <t>5</t>
        </is>
      </c>
      <c r="I138" s="2" t="inlineStr">
        <is>
          <t>1</t>
        </is>
      </c>
      <c r="J138" s="2" t="inlineStr">
        <is>
          <t>No calcular aun</t>
        </is>
      </c>
      <c r="K138" s="3" t="inlineStr"/>
      <c r="L138" s="2" t="inlineStr"/>
      <c r="M138" s="3" t="inlineStr">
        <is>
          <t>Dia/momento: Primer dia. Reubicada desde 'Administracion General (AB)'; ubicacion dentro de Stock es tentativa, JL no la asigno explicitamente. | Tiempo de origen (planilla Procesos Diarios) sin validar - no usar para calcular horas hasta confirmar con AB/RM</t>
        </is>
      </c>
    </row>
  </sheetData>
  <autoFilter ref="A1:M538"/>
  <dataValidations count="1">
    <dataValidation sqref="E2:E538" showDropDown="0" showInputMessage="0" showErrorMessage="0" allowBlank="1" errorTitle="Estado inválido" error="Elegí una opción de la lista" type="list">
      <formula1>"Se hace,Debería hacerse (falta),Mejora futura"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Como usar esta planilla</t>
        </is>
      </c>
    </row>
    <row r="2">
      <c r="A2" s="7" t="inlineStr"/>
    </row>
    <row r="3">
      <c r="A3" s="7" t="inlineStr">
        <is>
          <t>Cada fila es UNA tarea. Las columnas Proceso y Procedimiento la ubican</t>
        </is>
      </c>
    </row>
    <row r="4">
      <c r="A4" s="7" t="inlineStr">
        <is>
          <t>dentro de la jerarquia (ver docs/glosario-procesos.md en el repo).</t>
        </is>
      </c>
    </row>
    <row r="5">
      <c r="A5" s="7" t="inlineStr"/>
    </row>
    <row r="6">
      <c r="A6" s="7" t="inlineStr">
        <is>
          <t>Para agregar un modulo/tarea nueva: escribi una fila nueva debajo de</t>
        </is>
      </c>
    </row>
    <row r="7">
      <c r="A7" s="7" t="inlineStr">
        <is>
          <t>la ultima. El filtro y el formato ya cubren 400 filas de margen, asi</t>
        </is>
      </c>
    </row>
    <row r="8">
      <c r="A8" s="7" t="inlineStr">
        <is>
          <t>que no hace falta rehacer nada - solo completar las columnas.</t>
        </is>
      </c>
    </row>
    <row r="9">
      <c r="A9" s="7" t="inlineStr"/>
    </row>
    <row r="10">
      <c r="A10" s="7" t="inlineStr">
        <is>
          <t>Columna Estado tiene una lista desplegable: Se hace / Deberia hacerse</t>
        </is>
      </c>
    </row>
    <row r="11">
      <c r="A11" s="7" t="inlineStr">
        <is>
          <t>(falta) / Mejora futura. Al elegir 'Se hace' o 'Deberia hacerse (falta)'</t>
        </is>
      </c>
    </row>
    <row r="12">
      <c r="A12" s="7" t="inlineStr">
        <is>
          <t>la celda se colorea sola (verde o naranja).</t>
        </is>
      </c>
    </row>
    <row r="13">
      <c r="A13" s="7" t="inlineStr"/>
    </row>
    <row r="14">
      <c r="A14" s="7" t="inlineStr">
        <is>
          <t>No completes 'Horas-persona/mes' a mano con numeros calculados a ojo -</t>
        </is>
      </c>
    </row>
    <row r="15">
      <c r="A15" s="7" t="inlineStr">
        <is>
          <t>ver docs/resumen-carga-horaria.md sobre por que eso genero un error</t>
        </is>
      </c>
    </row>
    <row r="16">
      <c r="A16" s="7" t="inlineStr">
        <is>
          <t>antes. Deja 'A confirmar' hasta tener un tiempo medido de verdad.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2026-08-21T17:58:03Z</dcterms:created>
  <dcterms:modified xsi:type="dcterms:W3CDTF">2026-08-21T18:59:13Z</dcterms:modified>
</cp:coreProperties>
</file>