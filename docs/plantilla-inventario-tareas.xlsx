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iagrama de Flujo" sheetId="1" state="visible" r:id="rId1"/>
    <sheet name="AB - Control Agosto 2026" sheetId="2" state="visible" r:id="rId2"/>
    <sheet name="RM - Control Agosto 2026" sheetId="3" state="visible" r:id="rId3"/>
    <sheet name="Inventario de Tareas" sheetId="4" state="visible" r:id="rId4"/>
    <sheet name="Como usar esta planilla" sheetId="5" state="visible" r:id="rId5"/>
  </sheets>
  <definedNames>
    <definedName name="_xlnm._FilterDatabase" localSheetId="3" hidden="1">'Inventario de Tareas'!$A$1:$M$538</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FFFFFF"/>
      <sz val="10"/>
    </font>
    <font>
      <name val="Arial"/>
      <sz val="10"/>
    </font>
    <font>
      <name val="Arial"/>
      <b val="1"/>
      <sz val="13"/>
    </font>
    <font>
      <name val="Arial"/>
      <sz val="11"/>
    </font>
    <font>
      <name val="Arial"/>
      <b val="1"/>
      <color rgb="00FFFFFF"/>
      <sz val="11"/>
    </font>
    <font>
      <name val="Arial"/>
      <i val="1"/>
      <color rgb="00FFFFFF"/>
      <sz val="9"/>
    </font>
    <font>
      <name val="Arial"/>
      <color rgb="00FFFFFF"/>
      <sz val="9"/>
    </font>
    <font>
      <name val="Arial"/>
      <b val="1"/>
      <sz val="11"/>
    </font>
    <font>
      <name val="Arial"/>
      <i val="1"/>
      <sz val="9"/>
    </font>
    <font>
      <name val="Arial"/>
      <sz val="9"/>
    </font>
    <font>
      <name val="Arial"/>
      <b val="1"/>
      <color rgb="00FFFFFF"/>
      <sz val="9"/>
    </font>
    <font>
      <name val="Arial"/>
      <b val="1"/>
      <color rgb="00FFFFFF"/>
      <sz val="8"/>
    </font>
    <font>
      <name val="Arial"/>
      <b val="1"/>
      <sz val="10"/>
    </font>
    <font>
      <name val="Arial"/>
      <color rgb="00808080"/>
      <sz val="8"/>
    </font>
    <font>
      <name val="Arial"/>
      <sz val="8"/>
    </font>
    <font>
      <name val="Arial"/>
      <i val="1"/>
      <sz val="8"/>
    </font>
    <font>
      <name val="Arial"/>
      <b val="1"/>
      <sz val="8"/>
    </font>
  </fonts>
  <fills count="10">
    <fill>
      <patternFill/>
    </fill>
    <fill>
      <patternFill patternType="gray125"/>
    </fill>
    <fill>
      <patternFill patternType="solid">
        <fgColor rgb="001F5C8B"/>
      </patternFill>
    </fill>
    <fill>
      <patternFill patternType="solid">
        <fgColor rgb="00C6E6C6"/>
      </patternFill>
    </fill>
    <fill>
      <patternFill patternType="solid">
        <fgColor rgb="00F6D9B0"/>
      </patternFill>
    </fill>
    <fill>
      <patternFill patternType="solid">
        <fgColor rgb="002E4A63"/>
      </patternFill>
    </fill>
    <fill>
      <patternFill patternType="solid">
        <fgColor rgb="00DCE6EE"/>
      </patternFill>
    </fill>
    <fill>
      <patternFill patternType="solid">
        <fgColor rgb="00F0F4F7"/>
      </patternFill>
    </fill>
    <fill>
      <patternFill patternType="solid">
        <fgColor rgb="00FBEFD1"/>
      </patternFill>
    </fill>
    <fill>
      <patternFill patternType="solid">
        <fgColor rgb="00EDE3F5"/>
      </patternFill>
    </fill>
  </fills>
  <borders count="2">
    <border>
      <left/>
      <right/>
      <top/>
      <bottom/>
      <diagonal/>
    </border>
    <border>
      <left style="thin">
        <color rgb="00C3D0DA"/>
      </left>
      <right style="thin">
        <color rgb="00C3D0DA"/>
      </right>
      <top style="thin">
        <color rgb="00C3D0DA"/>
      </top>
      <bottom style="thin">
        <color rgb="00C3D0DA"/>
      </bottom>
    </border>
  </borders>
  <cellStyleXfs count="1">
    <xf numFmtId="0" fontId="0" fillId="0" borderId="0"/>
  </cellStyleXfs>
  <cellXfs count="52">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0" borderId="0" pivotButton="0" quotePrefix="0" xfId="0"/>
    <xf numFmtId="0" fontId="4" fillId="0" borderId="0" pivotButton="0" quotePrefix="0" xfId="0"/>
    <xf numFmtId="0" fontId="1" fillId="2" borderId="1" pivotButton="0" quotePrefix="0" xfId="0"/>
    <xf numFmtId="0" fontId="5" fillId="2" borderId="1" applyAlignment="1" pivotButton="0" quotePrefix="0" xfId="0">
      <alignment vertical="center" wrapText="1"/>
    </xf>
    <xf numFmtId="0" fontId="6" fillId="2" borderId="1" pivotButton="0" quotePrefix="0" xfId="0"/>
    <xf numFmtId="0" fontId="7" fillId="2" borderId="1" pivotButton="0" quotePrefix="0" xfId="0"/>
    <xf numFmtId="0" fontId="7" fillId="2" borderId="1" applyAlignment="1" pivotButton="0" quotePrefix="0" xfId="0">
      <alignment vertical="center" wrapText="1"/>
    </xf>
    <xf numFmtId="0" fontId="5" fillId="5" borderId="1" applyAlignment="1" pivotButton="0" quotePrefix="0" xfId="0">
      <alignment vertical="center" wrapText="1" indent="1"/>
    </xf>
    <xf numFmtId="0" fontId="6" fillId="5" borderId="1" pivotButton="0" quotePrefix="0" xfId="0"/>
    <xf numFmtId="0" fontId="7" fillId="5" borderId="1" pivotButton="0" quotePrefix="0" xfId="0"/>
    <xf numFmtId="0" fontId="7" fillId="5" borderId="1" applyAlignment="1" pivotButton="0" quotePrefix="0" xfId="0">
      <alignment vertical="center" wrapText="1"/>
    </xf>
    <xf numFmtId="0" fontId="8" fillId="6" borderId="1" applyAlignment="1" pivotButton="0" quotePrefix="0" xfId="0">
      <alignment vertical="center" wrapText="1" indent="2"/>
    </xf>
    <xf numFmtId="0" fontId="9" fillId="6" borderId="1" pivotButton="0" quotePrefix="0" xfId="0"/>
    <xf numFmtId="0" fontId="10" fillId="6" borderId="1" pivotButton="0" quotePrefix="0" xfId="0"/>
    <xf numFmtId="0" fontId="10" fillId="6" borderId="1" applyAlignment="1" pivotButton="0" quotePrefix="0" xfId="0">
      <alignment vertical="center" wrapText="1"/>
    </xf>
    <xf numFmtId="0" fontId="2" fillId="3" borderId="1" applyAlignment="1" pivotButton="0" quotePrefix="0" xfId="0">
      <alignment vertical="center" wrapText="1" indent="3"/>
    </xf>
    <xf numFmtId="0" fontId="9" fillId="3" borderId="1" pivotButton="0" quotePrefix="0" xfId="0"/>
    <xf numFmtId="0" fontId="10" fillId="3" borderId="1" pivotButton="0" quotePrefix="0" xfId="0"/>
    <xf numFmtId="0" fontId="10" fillId="3" borderId="1" applyAlignment="1" pivotButton="0" quotePrefix="0" xfId="0">
      <alignment vertical="center" wrapText="1"/>
    </xf>
    <xf numFmtId="0" fontId="2" fillId="7" borderId="1" applyAlignment="1" pivotButton="0" quotePrefix="0" xfId="0">
      <alignment vertical="center" wrapText="1" indent="3"/>
    </xf>
    <xf numFmtId="0" fontId="9" fillId="7" borderId="1" pivotButton="0" quotePrefix="0" xfId="0"/>
    <xf numFmtId="0" fontId="10" fillId="7" borderId="1" pivotButton="0" quotePrefix="0" xfId="0"/>
    <xf numFmtId="0" fontId="10" fillId="7" borderId="1" applyAlignment="1" pivotButton="0" quotePrefix="0" xfId="0">
      <alignment vertical="center" wrapText="1"/>
    </xf>
    <xf numFmtId="0" fontId="2" fillId="3" borderId="1" applyAlignment="1" pivotButton="0" quotePrefix="0" xfId="0">
      <alignment vertical="center" wrapText="1" indent="4"/>
    </xf>
    <xf numFmtId="0" fontId="2" fillId="4" borderId="1" applyAlignment="1" pivotButton="0" quotePrefix="0" xfId="0">
      <alignment vertical="center" wrapText="1" indent="4"/>
    </xf>
    <xf numFmtId="0" fontId="9" fillId="4" borderId="1" pivotButton="0" quotePrefix="0" xfId="0"/>
    <xf numFmtId="0" fontId="10" fillId="4" borderId="1" pivotButton="0" quotePrefix="0" xfId="0"/>
    <xf numFmtId="0" fontId="10" fillId="4" borderId="1" applyAlignment="1" pivotButton="0" quotePrefix="0" xfId="0">
      <alignment vertical="center" wrapText="1"/>
    </xf>
    <xf numFmtId="0" fontId="11" fillId="2" borderId="1" applyAlignment="1" pivotButton="0" quotePrefix="0" xfId="0">
      <alignment vertical="center" wrapText="1"/>
    </xf>
    <xf numFmtId="0" fontId="12" fillId="5" borderId="1" applyAlignment="1" pivotButton="0" quotePrefix="0" xfId="0">
      <alignment horizontal="center" vertical="center" textRotation="90"/>
    </xf>
    <xf numFmtId="0" fontId="12" fillId="2" borderId="1" applyAlignment="1" pivotButton="0" quotePrefix="0" xfId="0">
      <alignment horizontal="center" vertical="center" textRotation="90"/>
    </xf>
    <xf numFmtId="0" fontId="13" fillId="6" borderId="1" pivotButton="0" quotePrefix="0" xfId="0"/>
    <xf numFmtId="0" fontId="0" fillId="6" borderId="1" pivotButton="0" quotePrefix="0" xfId="0"/>
    <xf numFmtId="0" fontId="14" fillId="0" borderId="1" pivotButton="0" quotePrefix="0" xfId="0"/>
    <xf numFmtId="0" fontId="10" fillId="0" borderId="1" pivotButton="0" quotePrefix="0" xfId="0"/>
    <xf numFmtId="0" fontId="10" fillId="0" borderId="1" applyAlignment="1" pivotButton="0" quotePrefix="0" xfId="0">
      <alignment vertical="center" wrapText="1"/>
    </xf>
    <xf numFmtId="0" fontId="15" fillId="0" borderId="1" pivotButton="0" quotePrefix="0" xfId="0"/>
    <xf numFmtId="0" fontId="16" fillId="0" borderId="1" pivotButton="0" quotePrefix="0" xfId="0"/>
    <xf numFmtId="0" fontId="0" fillId="0" borderId="1" applyAlignment="1" pivotButton="0" quotePrefix="0" xfId="0">
      <alignment horizontal="center"/>
    </xf>
    <xf numFmtId="0" fontId="0" fillId="8" borderId="1" applyAlignment="1" pivotButton="0" quotePrefix="0" xfId="0">
      <alignment horizontal="center"/>
    </xf>
    <xf numFmtId="0" fontId="0" fillId="9" borderId="1" applyAlignment="1" pivotButton="0" quotePrefix="0" xfId="0">
      <alignment horizontal="center"/>
    </xf>
    <xf numFmtId="0" fontId="13" fillId="0" borderId="0" pivotButton="0" quotePrefix="0" xfId="0"/>
    <xf numFmtId="0" fontId="16" fillId="0" borderId="0" pivotButton="0" quotePrefix="0" xfId="0"/>
    <xf numFmtId="0" fontId="15" fillId="0" borderId="0" applyAlignment="1" pivotButton="0" quotePrefix="0" xfId="0">
      <alignment horizontal="center"/>
    </xf>
    <xf numFmtId="0" fontId="17" fillId="0" borderId="0" pivotButton="0" quotePrefix="0" xfId="0"/>
    <xf numFmtId="0" fontId="17" fillId="0" borderId="0" applyAlignment="1" pivotButton="0" quotePrefix="0" xfId="0">
      <alignment horizontal="center"/>
    </xf>
  </cellXfs>
  <cellStyles count="1">
    <cellStyle name="Normal" xfId="0" builtinId="0" hidden="0"/>
  </cellStyles>
  <dxfs count="4">
    <dxf>
      <fill>
        <patternFill patternType="solid">
          <fgColor rgb="00F6B0B0"/>
        </patternFill>
      </fill>
    </dxf>
    <dxf>
      <fill>
        <patternFill patternType="solid">
          <fgColor rgb="00C6E6C6"/>
        </patternFill>
      </fill>
    </dxf>
    <dxf>
      <fill>
        <patternFill patternType="solid">
          <fgColor rgb="00A9D9A9"/>
        </patternFill>
      </fill>
    </dxf>
    <dxf>
      <fill>
        <patternFill patternType="solid">
          <fgColor rgb="00E3A9A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F191"/>
  <sheetViews>
    <sheetView showGridLines="0" workbookViewId="0">
      <pane ySplit="1" topLeftCell="A2" activePane="bottomLeft" state="frozen"/>
      <selection pane="bottomLeft" activeCell="A1" sqref="A1"/>
    </sheetView>
  </sheetViews>
  <sheetFormatPr baseColWidth="8" defaultRowHeight="15"/>
  <cols>
    <col width="62" customWidth="1" min="1" max="1"/>
    <col width="16" customWidth="1" min="2" max="2"/>
    <col width="20" customWidth="1" min="3" max="3"/>
    <col width="16" customWidth="1" min="4" max="4"/>
    <col width="14" customWidth="1" min="5" max="5"/>
    <col width="60" customWidth="1" min="6" max="6"/>
  </cols>
  <sheetData>
    <row r="1">
      <c r="A1" s="8" t="inlineStr">
        <is>
          <t>Elemento</t>
        </is>
      </c>
      <c r="B1" s="8" t="inlineStr">
        <is>
          <t>Tipo</t>
        </is>
      </c>
      <c r="C1" s="8" t="inlineStr">
        <is>
          <t>Responsable</t>
        </is>
      </c>
      <c r="D1" s="8" t="inlineStr">
        <is>
          <t>Frecuencia</t>
        </is>
      </c>
      <c r="E1" s="8" t="inlineStr">
        <is>
          <t>Tiempo (min)</t>
        </is>
      </c>
      <c r="F1" s="8" t="inlineStr">
        <is>
          <t>Detalle / Observaciones</t>
        </is>
      </c>
    </row>
    <row r="2" ht="30" customHeight="1">
      <c r="A2" s="9" t="inlineStr">
        <is>
          <t>Julian Lopez -&gt; Gestion de Tareas de LOG</t>
        </is>
      </c>
      <c r="B2" s="10" t="inlineStr">
        <is>
          <t>Raiz / Proceso macro</t>
        </is>
      </c>
      <c r="C2" s="11" t="inlineStr"/>
      <c r="D2" s="11" t="inlineStr"/>
      <c r="E2" s="11" t="inlineStr"/>
      <c r="F2" s="12" t="inlineStr"/>
    </row>
    <row r="3" outlineLevel="1" ht="30" customHeight="1">
      <c r="A3" s="13" t="inlineStr">
        <is>
          <t>▸ AB - Ariel Bazan</t>
        </is>
      </c>
      <c r="B3" s="14" t="inlineStr">
        <is>
          <t>Rama</t>
        </is>
      </c>
      <c r="C3" s="15" t="inlineStr"/>
      <c r="D3" s="15" t="inlineStr"/>
      <c r="E3" s="15" t="inlineStr"/>
      <c r="F3" s="16" t="inlineStr"/>
    </row>
    <row r="4" outlineLevel="2" ht="30" customHeight="1">
      <c r="A4" s="17" t="inlineStr">
        <is>
          <t>→ Administracion General (AB)</t>
        </is>
      </c>
      <c r="B4" s="18" t="inlineStr">
        <is>
          <t>Proceso</t>
        </is>
      </c>
      <c r="C4" s="19" t="inlineStr"/>
      <c r="D4" s="19" t="inlineStr"/>
      <c r="E4" s="19" t="inlineStr"/>
      <c r="F4" s="20" t="inlineStr"/>
    </row>
    <row r="5" outlineLevel="3" ht="20" customHeight="1">
      <c r="A5" s="21" t="inlineStr">
        <is>
          <t>• Control e impresion de R.E.E.</t>
        </is>
      </c>
      <c r="B5" s="22" t="inlineStr">
        <is>
          <t>Tarea</t>
        </is>
      </c>
      <c r="C5" s="23" t="inlineStr">
        <is>
          <t>AB</t>
        </is>
      </c>
      <c r="D5" s="23" t="inlineStr">
        <is>
          <t>Mensual</t>
        </is>
      </c>
      <c r="E5" s="23" t="inlineStr">
        <is>
          <t>60</t>
        </is>
      </c>
      <c r="F5" s="24" t="inlineStr">
        <is>
          <t>Dia/momento: Ultimo miercoles. | Tiempo de origen (planilla Procesos Diarios) sin validar - no usar para calcular horas hasta confirmar con AB/RM</t>
        </is>
      </c>
    </row>
    <row r="6" outlineLevel="3" ht="20" customHeight="1">
      <c r="A6" s="21" t="inlineStr">
        <is>
          <t>• Control y solicitud de CSID a CM</t>
        </is>
      </c>
      <c r="B6" s="22" t="inlineStr">
        <is>
          <t>Tarea</t>
        </is>
      </c>
      <c r="C6" s="23" t="inlineStr">
        <is>
          <t>AB</t>
        </is>
      </c>
      <c r="D6" s="23" t="inlineStr">
        <is>
          <t>Quincenal</t>
        </is>
      </c>
      <c r="E6" s="23" t="inlineStr">
        <is>
          <t>15</t>
        </is>
      </c>
      <c r="F6" s="24" t="inlineStr">
        <is>
          <t>Dia/momento: 2do y 4to jueves. | Tiempo de origen (planilla Procesos Diarios) sin validar - no usar para calcular horas hasta confirmar con AB/RM</t>
        </is>
      </c>
    </row>
    <row r="7" outlineLevel="3" ht="20" customHeight="1">
      <c r="A7" s="21" t="inlineStr">
        <is>
          <t>• Actualizacion de Datacenter / servidores</t>
        </is>
      </c>
      <c r="B7" s="22" t="inlineStr">
        <is>
          <t>Tarea</t>
        </is>
      </c>
      <c r="C7" s="23" t="inlineStr">
        <is>
          <t>AB / RM</t>
        </is>
      </c>
      <c r="D7" s="23" t="inlineStr">
        <is>
          <t>Mensual</t>
        </is>
      </c>
      <c r="E7" s="23" t="inlineStr">
        <is>
          <t>A confirmar</t>
        </is>
      </c>
      <c r="F7" s="24" t="inlineStr">
        <is>
          <t>Dia/momento: Primer dia. Responsable en el catalogo figura como LOG (sin persona especifica asignada)</t>
        </is>
      </c>
    </row>
    <row r="8" outlineLevel="2" ht="30" customHeight="1">
      <c r="A8" s="17" t="inlineStr">
        <is>
          <t>→ Jueves - Chips</t>
        </is>
      </c>
      <c r="B8" s="18" t="inlineStr">
        <is>
          <t>Proceso</t>
        </is>
      </c>
      <c r="C8" s="19" t="inlineStr"/>
      <c r="D8" s="19" t="inlineStr"/>
      <c r="E8" s="19" t="inlineStr"/>
      <c r="F8" s="20" t="inlineStr"/>
    </row>
    <row r="9" outlineLevel="3" ht="20" customHeight="1">
      <c r="A9" s="25" t="inlineStr">
        <is>
          <t>› Bloqueo y Desbloqueo - AXpro</t>
        </is>
      </c>
      <c r="B9" s="26" t="inlineStr">
        <is>
          <t>Procedimiento</t>
        </is>
      </c>
      <c r="C9" s="27" t="inlineStr"/>
      <c r="D9" s="27" t="inlineStr"/>
      <c r="E9" s="27" t="inlineStr"/>
      <c r="F9" s="28" t="inlineStr"/>
    </row>
    <row r="10" outlineLevel="4" ht="20" customHeight="1">
      <c r="A10" s="29" t="inlineStr">
        <is>
          <t>• Bloqueo de equipos AXpro</t>
        </is>
      </c>
      <c r="B10" s="22" t="inlineStr">
        <is>
          <t>Tarea</t>
        </is>
      </c>
      <c r="C10" s="23" t="inlineStr">
        <is>
          <t>AB</t>
        </is>
      </c>
      <c r="D10" s="23" t="inlineStr">
        <is>
          <t>Semanal</t>
        </is>
      </c>
      <c r="E10" s="23" t="inlineStr">
        <is>
          <t>30</t>
        </is>
      </c>
      <c r="F10" s="24" t="inlineStr">
        <is>
          <t>Dia/momento: Jueves. Renombrado a 'Chips' el 18/08/2026 por correccion de JL: el jueves de AB es Chips, no 'Ingreso Remoto a Clientes'. JL confirmo (18/08/2026): es el mismo proceso Chips que 'Gestion de Chips (administrativo)' de RM (dos procedimientos: operativo AB / administrativo RM). Fusion pendiente de hacer en detalle mas adelante. | Tiempo de origen (planilla Procesos Diarios) sin validar - no usar para calcular horas hasta confirmar con AB/RM</t>
        </is>
      </c>
    </row>
    <row r="11" outlineLevel="4" ht="20" customHeight="1">
      <c r="A11" s="29" t="inlineStr">
        <is>
          <t>• Desbloqueo de equipos AXpro</t>
        </is>
      </c>
      <c r="B11" s="22" t="inlineStr">
        <is>
          <t>Tarea</t>
        </is>
      </c>
      <c r="C11" s="23" t="inlineStr">
        <is>
          <t>AB</t>
        </is>
      </c>
      <c r="D11" s="23" t="inlineStr">
        <is>
          <t>Semanal</t>
        </is>
      </c>
      <c r="E11" s="23" t="inlineStr">
        <is>
          <t>30</t>
        </is>
      </c>
      <c r="F11" s="24" t="inlineStr">
        <is>
          <t>Dia/momento: Jueves. | Tiempo de origen (planilla Procesos Diarios) sin validar - no usar para calcular horas hasta confirmar con AB/RM</t>
        </is>
      </c>
    </row>
    <row r="12" outlineLevel="3" ht="20" customHeight="1">
      <c r="A12" s="25" t="inlineStr">
        <is>
          <t>› Bloqueo y Desbloqueo - Paradox (remoto)</t>
        </is>
      </c>
      <c r="B12" s="26" t="inlineStr">
        <is>
          <t>Procedimiento</t>
        </is>
      </c>
      <c r="C12" s="27" t="inlineStr"/>
      <c r="D12" s="27" t="inlineStr"/>
      <c r="E12" s="27" t="inlineStr"/>
      <c r="F12" s="28" t="inlineStr"/>
    </row>
    <row r="13" outlineLevel="4" ht="20" customHeight="1">
      <c r="A13" s="29" t="inlineStr">
        <is>
          <t>• Bloqueo de equipos Paradox (PDX, remoto)</t>
        </is>
      </c>
      <c r="B13" s="22" t="inlineStr">
        <is>
          <t>Tarea</t>
        </is>
      </c>
      <c r="C13" s="23" t="inlineStr">
        <is>
          <t>AB</t>
        </is>
      </c>
      <c r="D13" s="23" t="inlineStr">
        <is>
          <t>Semanal</t>
        </is>
      </c>
      <c r="E13" s="23" t="inlineStr">
        <is>
          <t>30</t>
        </is>
      </c>
      <c r="F13" s="24" t="inlineStr">
        <is>
          <t>Dia/momento: Jueves. | Tiempo de origen (planilla Procesos Diarios) sin validar - no usar para calcular horas hasta confirmar con AB/RM</t>
        </is>
      </c>
    </row>
    <row r="14" outlineLevel="4" ht="20" customHeight="1">
      <c r="A14" s="29" t="inlineStr">
        <is>
          <t>• Desbloqueo de equipos Paradox (PDX, remoto)</t>
        </is>
      </c>
      <c r="B14" s="22" t="inlineStr">
        <is>
          <t>Tarea</t>
        </is>
      </c>
      <c r="C14" s="23" t="inlineStr">
        <is>
          <t>AB</t>
        </is>
      </c>
      <c r="D14" s="23" t="inlineStr">
        <is>
          <t>Semanal</t>
        </is>
      </c>
      <c r="E14" s="23" t="inlineStr">
        <is>
          <t>30</t>
        </is>
      </c>
      <c r="F14" s="24" t="inlineStr">
        <is>
          <t>Dia/momento: Jueves. | Tiempo de origen (planilla Procesos Diarios) sin validar - no usar para calcular horas hasta confirmar con AB/RM</t>
        </is>
      </c>
    </row>
    <row r="15" outlineLevel="2" ht="30" customHeight="1">
      <c r="A15" s="17" t="inlineStr">
        <is>
          <t>→ Lunes - Falla de Tests</t>
        </is>
      </c>
      <c r="B15" s="18" t="inlineStr">
        <is>
          <t>Proceso</t>
        </is>
      </c>
      <c r="C15" s="19" t="inlineStr"/>
      <c r="D15" s="19" t="inlineStr"/>
      <c r="E15" s="19" t="inlineStr"/>
      <c r="F15" s="20" t="inlineStr"/>
    </row>
    <row r="16" outlineLevel="3" ht="20" customHeight="1">
      <c r="A16" s="25" t="inlineStr">
        <is>
          <t>› Instructivo General (documento vinculado)</t>
        </is>
      </c>
      <c r="B16" s="26" t="inlineStr">
        <is>
          <t>Procedimiento</t>
        </is>
      </c>
      <c r="C16" s="27" t="inlineStr"/>
      <c r="D16" s="27" t="inlineStr"/>
      <c r="E16" s="27" t="inlineStr"/>
      <c r="F16" s="28" t="inlineStr"/>
    </row>
    <row r="17" outlineLevel="4" ht="20" customHeight="1">
      <c r="A17" s="29" t="inlineStr">
        <is>
          <t>• Falla de Test - procedimiento general</t>
        </is>
      </c>
      <c r="B17" s="22" t="inlineStr">
        <is>
          <t>Tarea</t>
        </is>
      </c>
      <c r="C17" s="23" t="inlineStr">
        <is>
          <t>AB</t>
        </is>
      </c>
      <c r="D17" s="23" t="inlineStr">
        <is>
          <t>Semanal</t>
        </is>
      </c>
      <c r="E17" s="23" t="inlineStr">
        <is>
          <t>30</t>
        </is>
      </c>
      <c r="F17" s="24" t="inlineStr">
        <is>
          <t>Dia/momento: Lunes. Tiene instructivo en Drive vinculado. | Tiempo de origen (planilla Procesos Diarios) sin validar - no usar para calcular horas hasta confirmar con AB/RM</t>
        </is>
      </c>
    </row>
    <row r="18" outlineLevel="3" ht="20" customHeight="1">
      <c r="A18" s="25" t="inlineStr">
        <is>
          <t>› Envio de Mail</t>
        </is>
      </c>
      <c r="B18" s="26" t="inlineStr">
        <is>
          <t>Procedimiento</t>
        </is>
      </c>
      <c r="C18" s="27" t="inlineStr"/>
      <c r="D18" s="27" t="inlineStr"/>
      <c r="E18" s="27" t="inlineStr"/>
      <c r="F18" s="28" t="inlineStr"/>
    </row>
    <row r="19" outlineLevel="4" ht="20" customHeight="1">
      <c r="A19" s="30" t="inlineStr">
        <is>
          <t>• Pendiente de cargar (gap)</t>
        </is>
      </c>
      <c r="B19" s="31" t="inlineStr">
        <is>
          <t>Tarea</t>
        </is>
      </c>
      <c r="C19" s="32" t="inlineStr">
        <is>
          <t>AB</t>
        </is>
      </c>
      <c r="D19" s="32" t="inlineStr">
        <is>
          <t>A confirmar</t>
        </is>
      </c>
      <c r="E19" s="32" t="inlineStr">
        <is>
          <t>A confirmar</t>
        </is>
      </c>
      <c r="F19" s="33" t="inlineStr">
        <is>
          <t>JL (18/08/2026): dentro de Falla de Test hay que abrir este procedimiento por separado</t>
        </is>
      </c>
    </row>
    <row r="20" outlineLevel="3" ht="20" customHeight="1">
      <c r="A20" s="25" t="inlineStr">
        <is>
          <t>› Llamado a Clientes</t>
        </is>
      </c>
      <c r="B20" s="26" t="inlineStr">
        <is>
          <t>Procedimiento</t>
        </is>
      </c>
      <c r="C20" s="27" t="inlineStr"/>
      <c r="D20" s="27" t="inlineStr"/>
      <c r="E20" s="27" t="inlineStr"/>
      <c r="F20" s="28" t="inlineStr"/>
    </row>
    <row r="21" outlineLevel="4" ht="20" customHeight="1">
      <c r="A21" s="30" t="inlineStr">
        <is>
          <t>• Pendiente de cargar (gap)</t>
        </is>
      </c>
      <c r="B21" s="31" t="inlineStr">
        <is>
          <t>Tarea</t>
        </is>
      </c>
      <c r="C21" s="32" t="inlineStr">
        <is>
          <t>AB</t>
        </is>
      </c>
      <c r="D21" s="32" t="inlineStr">
        <is>
          <t>A confirmar</t>
        </is>
      </c>
      <c r="E21" s="32" t="inlineStr">
        <is>
          <t>A confirmar</t>
        </is>
      </c>
      <c r="F21" s="33" t="inlineStr">
        <is>
          <t>JL (18/08/2026): dentro de Falla de Test hay que abrir este procedimiento por separado</t>
        </is>
      </c>
    </row>
    <row r="22" outlineLevel="3" ht="20" customHeight="1">
      <c r="A22" s="25" t="inlineStr">
        <is>
          <t>› Coordinacion de Servicios Tecnicos</t>
        </is>
      </c>
      <c r="B22" s="26" t="inlineStr">
        <is>
          <t>Procedimiento</t>
        </is>
      </c>
      <c r="C22" s="27" t="inlineStr"/>
      <c r="D22" s="27" t="inlineStr"/>
      <c r="E22" s="27" t="inlineStr"/>
      <c r="F22" s="28" t="inlineStr"/>
    </row>
    <row r="23" outlineLevel="4" ht="20" customHeight="1">
      <c r="A23" s="29" t="inlineStr">
        <is>
          <t>• Falla de Test - Coordinacion con ST</t>
        </is>
      </c>
      <c r="B23" s="22" t="inlineStr">
        <is>
          <t>Tarea</t>
        </is>
      </c>
      <c r="C23" s="23" t="inlineStr">
        <is>
          <t>AB</t>
        </is>
      </c>
      <c r="D23" s="23" t="inlineStr">
        <is>
          <t>Diario</t>
        </is>
      </c>
      <c r="E23" s="23" t="inlineStr">
        <is>
          <t>5</t>
        </is>
      </c>
      <c r="F23" s="24" t="inlineStr">
        <is>
          <t>Dia/momento: Primer dia. | Tiempo de origen (planilla Procesos Diarios) sin validar - no usar para calcular horas hasta confirmar con AB/RM</t>
        </is>
      </c>
    </row>
    <row r="24" outlineLevel="3" ht="20" customHeight="1">
      <c r="A24" s="25" t="inlineStr">
        <is>
          <t>› Seguimiento de Servicios Tecnicos</t>
        </is>
      </c>
      <c r="B24" s="26" t="inlineStr">
        <is>
          <t>Procedimiento</t>
        </is>
      </c>
      <c r="C24" s="27" t="inlineStr"/>
      <c r="D24" s="27" t="inlineStr"/>
      <c r="E24" s="27" t="inlineStr"/>
      <c r="F24" s="28" t="inlineStr"/>
    </row>
    <row r="25" outlineLevel="4" ht="20" customHeight="1">
      <c r="A25" s="30" t="inlineStr">
        <is>
          <t>• Pendiente de cargar (gap)</t>
        </is>
      </c>
      <c r="B25" s="31" t="inlineStr">
        <is>
          <t>Tarea</t>
        </is>
      </c>
      <c r="C25" s="32" t="inlineStr">
        <is>
          <t>AB</t>
        </is>
      </c>
      <c r="D25" s="32" t="inlineStr">
        <is>
          <t>A confirmar</t>
        </is>
      </c>
      <c r="E25" s="32" t="inlineStr">
        <is>
          <t>A confirmar</t>
        </is>
      </c>
      <c r="F25" s="33" t="inlineStr">
        <is>
          <t>JL (18/08/2026): distinto de 'coordinar' - es el seguimiento posterior</t>
        </is>
      </c>
    </row>
    <row r="26" outlineLevel="3" ht="20" customHeight="1">
      <c r="A26" s="25" t="inlineStr">
        <is>
          <t>› Analisis</t>
        </is>
      </c>
      <c r="B26" s="26" t="inlineStr">
        <is>
          <t>Procedimiento</t>
        </is>
      </c>
      <c r="C26" s="27" t="inlineStr"/>
      <c r="D26" s="27" t="inlineStr"/>
      <c r="E26" s="27" t="inlineStr"/>
      <c r="F26" s="28" t="inlineStr"/>
    </row>
    <row r="27" outlineLevel="4" ht="20" customHeight="1">
      <c r="A27" s="29" t="inlineStr">
        <is>
          <t>• Falla de Test - Analisis</t>
        </is>
      </c>
      <c r="B27" s="22" t="inlineStr">
        <is>
          <t>Tarea</t>
        </is>
      </c>
      <c r="C27" s="23" t="inlineStr">
        <is>
          <t>AB</t>
        </is>
      </c>
      <c r="D27" s="23" t="inlineStr">
        <is>
          <t>Diario</t>
        </is>
      </c>
      <c r="E27" s="23" t="inlineStr">
        <is>
          <t>60</t>
        </is>
      </c>
      <c r="F27" s="24" t="inlineStr">
        <is>
          <t>Dia/momento: Primer dia. | Tiempo de origen (planilla Procesos Diarios) sin validar - no usar para calcular horas hasta confirmar con AB/RM</t>
        </is>
      </c>
    </row>
    <row r="28" outlineLevel="2" ht="30" customHeight="1">
      <c r="A28" s="17" t="inlineStr">
        <is>
          <t>→ Martes - Offline</t>
        </is>
      </c>
      <c r="B28" s="18" t="inlineStr">
        <is>
          <t>Proceso</t>
        </is>
      </c>
      <c r="C28" s="19" t="inlineStr"/>
      <c r="D28" s="19" t="inlineStr"/>
      <c r="E28" s="19" t="inlineStr"/>
      <c r="F28" s="20" t="inlineStr"/>
    </row>
    <row r="29" outlineLevel="3" ht="20" customHeight="1">
      <c r="A29" s="25" t="inlineStr">
        <is>
          <t>› Instructivo General (documento vinculado)</t>
        </is>
      </c>
      <c r="B29" s="26" t="inlineStr">
        <is>
          <t>Procedimiento</t>
        </is>
      </c>
      <c r="C29" s="27" t="inlineStr"/>
      <c r="D29" s="27" t="inlineStr"/>
      <c r="E29" s="27" t="inlineStr"/>
      <c r="F29" s="28" t="inlineStr"/>
    </row>
    <row r="30" outlineLevel="4" ht="20" customHeight="1">
      <c r="A30" s="29" t="inlineStr">
        <is>
          <t>• Offline - procedimiento general</t>
        </is>
      </c>
      <c r="B30" s="22" t="inlineStr">
        <is>
          <t>Tarea</t>
        </is>
      </c>
      <c r="C30" s="23" t="inlineStr">
        <is>
          <t>AB</t>
        </is>
      </c>
      <c r="D30" s="23" t="inlineStr">
        <is>
          <t>Semanal</t>
        </is>
      </c>
      <c r="E30" s="23" t="inlineStr">
        <is>
          <t>A confirmar</t>
        </is>
      </c>
      <c r="F30" s="24" t="inlineStr">
        <is>
          <t>Tiene instructivo en Drive vinculado (Google Doc)</t>
        </is>
      </c>
    </row>
    <row r="31" outlineLevel="3" ht="20" customHeight="1">
      <c r="A31" s="25" t="inlineStr">
        <is>
          <t>› Offline de las 4</t>
        </is>
      </c>
      <c r="B31" s="26" t="inlineStr">
        <is>
          <t>Procedimiento</t>
        </is>
      </c>
      <c r="C31" s="27" t="inlineStr"/>
      <c r="D31" s="27" t="inlineStr"/>
      <c r="E31" s="27" t="inlineStr"/>
      <c r="F31" s="28" t="inlineStr"/>
    </row>
    <row r="32" outlineLevel="4" ht="20" customHeight="1">
      <c r="A32" s="30" t="inlineStr">
        <is>
          <t>• Pendiente de cargar (gap): informe, analisis, coordinacion ST, mail semanal, objetivo</t>
        </is>
      </c>
      <c r="B32" s="31" t="inlineStr">
        <is>
          <t>Tarea</t>
        </is>
      </c>
      <c r="C32" s="32" t="inlineStr">
        <is>
          <t>AB</t>
        </is>
      </c>
      <c r="D32" s="32" t="inlineStr">
        <is>
          <t>A confirmar</t>
        </is>
      </c>
      <c r="E32" s="32" t="inlineStr">
        <is>
          <t>A confirmar</t>
        </is>
      </c>
      <c r="F32" s="33" t="inlineStr">
        <is>
          <t>JL (18/08/2026): cada horario de offline tiene su propio informe/analisis/coordinacion/mail/objetivo</t>
        </is>
      </c>
    </row>
    <row r="33" outlineLevel="3" ht="20" customHeight="1">
      <c r="A33" s="25" t="inlineStr">
        <is>
          <t>› Offline de las 7</t>
        </is>
      </c>
      <c r="B33" s="26" t="inlineStr">
        <is>
          <t>Procedimiento</t>
        </is>
      </c>
      <c r="C33" s="27" t="inlineStr"/>
      <c r="D33" s="27" t="inlineStr"/>
      <c r="E33" s="27" t="inlineStr"/>
      <c r="F33" s="28" t="inlineStr"/>
    </row>
    <row r="34" outlineLevel="4" ht="20" customHeight="1">
      <c r="A34" s="30" t="inlineStr">
        <is>
          <t>• Pendiente de cargar (gap): informe, analisis, coordinacion ST, mail semanal, objetivo</t>
        </is>
      </c>
      <c r="B34" s="31" t="inlineStr">
        <is>
          <t>Tarea</t>
        </is>
      </c>
      <c r="C34" s="32" t="inlineStr">
        <is>
          <t>AB</t>
        </is>
      </c>
      <c r="D34" s="32" t="inlineStr">
        <is>
          <t>A confirmar</t>
        </is>
      </c>
      <c r="E34" s="32" t="inlineStr">
        <is>
          <t>A confirmar</t>
        </is>
      </c>
      <c r="F34" s="33" t="inlineStr">
        <is>
          <t>JL (18/08/2026)</t>
        </is>
      </c>
    </row>
    <row r="35" outlineLevel="3" ht="20" customHeight="1">
      <c r="A35" s="25" t="inlineStr">
        <is>
          <t>› Offline de las 11</t>
        </is>
      </c>
      <c r="B35" s="26" t="inlineStr">
        <is>
          <t>Procedimiento</t>
        </is>
      </c>
      <c r="C35" s="27" t="inlineStr"/>
      <c r="D35" s="27" t="inlineStr"/>
      <c r="E35" s="27" t="inlineStr"/>
      <c r="F35" s="28" t="inlineStr"/>
    </row>
    <row r="36" outlineLevel="4" ht="20" customHeight="1">
      <c r="A36" s="30" t="inlineStr">
        <is>
          <t>• Pendiente de cargar (gap): informe, analisis, coordinacion ST, mail semanal, objetivo</t>
        </is>
      </c>
      <c r="B36" s="31" t="inlineStr">
        <is>
          <t>Tarea</t>
        </is>
      </c>
      <c r="C36" s="32" t="inlineStr">
        <is>
          <t>AB</t>
        </is>
      </c>
      <c r="D36" s="32" t="inlineStr">
        <is>
          <t>A confirmar</t>
        </is>
      </c>
      <c r="E36" s="32" t="inlineStr">
        <is>
          <t>A confirmar</t>
        </is>
      </c>
      <c r="F36" s="33" t="inlineStr">
        <is>
          <t>JL (18/08/2026)</t>
        </is>
      </c>
    </row>
    <row r="37" outlineLevel="3" ht="20" customHeight="1">
      <c r="A37" s="25" t="inlineStr">
        <is>
          <t>› Horario sin asignar (a confirmar cual de los 3)</t>
        </is>
      </c>
      <c r="B37" s="26" t="inlineStr">
        <is>
          <t>Procedimiento</t>
        </is>
      </c>
      <c r="C37" s="27" t="inlineStr"/>
      <c r="D37" s="27" t="inlineStr"/>
      <c r="E37" s="27" t="inlineStr"/>
      <c r="F37" s="28" t="inlineStr"/>
    </row>
    <row r="38" outlineLevel="4" ht="20" customHeight="1">
      <c r="A38" s="29" t="inlineStr">
        <is>
          <t>• Offline - Analisis general</t>
        </is>
      </c>
      <c r="B38" s="22" t="inlineStr">
        <is>
          <t>Tarea</t>
        </is>
      </c>
      <c r="C38" s="23" t="inlineStr">
        <is>
          <t>AB</t>
        </is>
      </c>
      <c r="D38" s="23" t="inlineStr">
        <is>
          <t>Diario</t>
        </is>
      </c>
      <c r="E38" s="23" t="inlineStr">
        <is>
          <t>30</t>
        </is>
      </c>
      <c r="F38" s="24" t="inlineStr">
        <is>
          <t>Dia/momento: Primer dia. Falta confirmar a cual horario (4, 7 u 11) corresponde. | Tiempo de origen (planilla Procesos Diarios) sin validar - no usar para calcular horas hasta confirmar con AB/RM</t>
        </is>
      </c>
    </row>
    <row r="39" outlineLevel="4" ht="20" customHeight="1">
      <c r="A39" s="29" t="inlineStr">
        <is>
          <t>• Offline - Coordinacion con ST</t>
        </is>
      </c>
      <c r="B39" s="22" t="inlineStr">
        <is>
          <t>Tarea</t>
        </is>
      </c>
      <c r="C39" s="23" t="inlineStr">
        <is>
          <t>AB</t>
        </is>
      </c>
      <c r="D39" s="23" t="inlineStr">
        <is>
          <t>Diario</t>
        </is>
      </c>
      <c r="E39" s="23" t="inlineStr">
        <is>
          <t>5</t>
        </is>
      </c>
      <c r="F39" s="24" t="inlineStr">
        <is>
          <t>Dia/momento: Primer dia. Falta confirmar a cual horario (4, 7 u 11) corresponde. | Tiempo de origen (planilla Procesos Diarios) sin validar - no usar para calcular horas hasta confirmar con AB/RM</t>
        </is>
      </c>
    </row>
    <row r="40" outlineLevel="2" ht="30" customHeight="1">
      <c r="A40" s="17" t="inlineStr">
        <is>
          <t>→ Miercoles - Redes</t>
        </is>
      </c>
      <c r="B40" s="18" t="inlineStr">
        <is>
          <t>Proceso</t>
        </is>
      </c>
      <c r="C40" s="19" t="inlineStr"/>
      <c r="D40" s="19" t="inlineStr"/>
      <c r="E40" s="19" t="inlineStr"/>
      <c r="F40" s="20" t="inlineStr"/>
    </row>
    <row r="41" outlineLevel="3" ht="20" customHeight="1">
      <c r="A41" s="25" t="inlineStr">
        <is>
          <t>› Telefonia IP</t>
        </is>
      </c>
      <c r="B41" s="26" t="inlineStr">
        <is>
          <t>Procedimiento</t>
        </is>
      </c>
      <c r="C41" s="27" t="inlineStr"/>
      <c r="D41" s="27" t="inlineStr"/>
      <c r="E41" s="27" t="inlineStr"/>
      <c r="F41" s="28" t="inlineStr"/>
    </row>
    <row r="42" outlineLevel="4" ht="20" customHeight="1">
      <c r="A42" s="29" t="inlineStr">
        <is>
          <t>• Pendiente de desglose</t>
        </is>
      </c>
      <c r="B42" s="22" t="inlineStr">
        <is>
          <t>Tarea</t>
        </is>
      </c>
      <c r="C42" s="23" t="inlineStr">
        <is>
          <t>AB (Ariel Bazan)</t>
        </is>
      </c>
      <c r="D42" s="23" t="inlineStr">
        <is>
          <t>A confirmar</t>
        </is>
      </c>
      <c r="E42" s="23" t="inlineStr">
        <is>
          <t>A confirmar</t>
        </is>
      </c>
      <c r="F42" s="24" t="inlineStr">
        <is>
          <t>Procedimiento confirmado por JL (12/08/2026); sin tareas cargadas todavia</t>
        </is>
      </c>
    </row>
    <row r="43" outlineLevel="3" ht="20" customHeight="1">
      <c r="A43" s="25" t="inlineStr">
        <is>
          <t>› Camaras IP</t>
        </is>
      </c>
      <c r="B43" s="26" t="inlineStr">
        <is>
          <t>Procedimiento</t>
        </is>
      </c>
      <c r="C43" s="27" t="inlineStr"/>
      <c r="D43" s="27" t="inlineStr"/>
      <c r="E43" s="27" t="inlineStr"/>
      <c r="F43" s="28" t="inlineStr"/>
    </row>
    <row r="44" outlineLevel="4" ht="20" customHeight="1">
      <c r="A44" s="29" t="inlineStr">
        <is>
          <t>• Horario de Camaras</t>
        </is>
      </c>
      <c r="B44" s="22" t="inlineStr">
        <is>
          <t>Tarea</t>
        </is>
      </c>
      <c r="C44" s="23" t="inlineStr">
        <is>
          <t>AB (Ariel Bazan)</t>
        </is>
      </c>
      <c r="D44" s="23" t="inlineStr">
        <is>
          <t>Semanal</t>
        </is>
      </c>
      <c r="E44" s="23" t="inlineStr">
        <is>
          <t>5</t>
        </is>
      </c>
      <c r="F44" s="24" t="inlineStr">
        <is>
          <t>Dia/momento: Viernes (segun catalogo). | Tiempo de origen (planilla Procesos Diarios) sin validar - no usar para calcular horas hasta confirmar con AB/RM</t>
        </is>
      </c>
    </row>
    <row r="45" outlineLevel="3" ht="20" customHeight="1">
      <c r="A45" s="25" t="inlineStr">
        <is>
          <t>› Computacion (todas las PCs)</t>
        </is>
      </c>
      <c r="B45" s="26" t="inlineStr">
        <is>
          <t>Procedimiento</t>
        </is>
      </c>
      <c r="C45" s="27" t="inlineStr"/>
      <c r="D45" s="27" t="inlineStr"/>
      <c r="E45" s="27" t="inlineStr"/>
      <c r="F45" s="28" t="inlineStr"/>
    </row>
    <row r="46" outlineLevel="4" ht="20" customHeight="1">
      <c r="A46" s="29" t="inlineStr">
        <is>
          <t>• Norton (antivirus / seguridad)</t>
        </is>
      </c>
      <c r="B46" s="22" t="inlineStr">
        <is>
          <t>Tarea</t>
        </is>
      </c>
      <c r="C46" s="23" t="inlineStr">
        <is>
          <t>AB (Ariel Bazan)</t>
        </is>
      </c>
      <c r="D46" s="23" t="inlineStr">
        <is>
          <t>Trimestral</t>
        </is>
      </c>
      <c r="E46" s="23" t="inlineStr">
        <is>
          <t>240</t>
        </is>
      </c>
      <c r="F46" s="24" t="inlineStr">
        <is>
          <t>Dia/momento: Ene/Abr/Jul/Oct. Reubicada desde 'Administracion General (AB)'. JL sugiere separar a futuro 'Seguridad' (Norton) de 'Redes/IP' dentro de Computacion. | Tiempo de origen (planilla Procesos Diarios) sin validar - no usar para calcular horas hasta confirmar con AB/RM</t>
        </is>
      </c>
    </row>
    <row r="47" outlineLevel="3" ht="20" customHeight="1">
      <c r="A47" s="25" t="inlineStr">
        <is>
          <t>› Impresoras IP</t>
        </is>
      </c>
      <c r="B47" s="26" t="inlineStr">
        <is>
          <t>Procedimiento</t>
        </is>
      </c>
      <c r="C47" s="27" t="inlineStr"/>
      <c r="D47" s="27" t="inlineStr"/>
      <c r="E47" s="27" t="inlineStr"/>
      <c r="F47" s="28" t="inlineStr"/>
    </row>
    <row r="48" outlineLevel="4" ht="20" customHeight="1">
      <c r="A48" s="29" t="inlineStr">
        <is>
          <t>• Pendiente de desglose</t>
        </is>
      </c>
      <c r="B48" s="22" t="inlineStr">
        <is>
          <t>Tarea</t>
        </is>
      </c>
      <c r="C48" s="23" t="inlineStr">
        <is>
          <t>AB (Ariel Bazan)</t>
        </is>
      </c>
      <c r="D48" s="23" t="inlineStr">
        <is>
          <t>A confirmar</t>
        </is>
      </c>
      <c r="E48" s="23" t="inlineStr">
        <is>
          <t>A confirmar</t>
        </is>
      </c>
      <c r="F48" s="24" t="inlineStr">
        <is>
          <t>Procedimiento confirmado por JL (12/08/2026); sin tareas cargadas todavia</t>
        </is>
      </c>
    </row>
    <row r="49" outlineLevel="2" ht="30" customHeight="1">
      <c r="A49" s="17" t="inlineStr">
        <is>
          <t>→ Viernes - Stock</t>
        </is>
      </c>
      <c r="B49" s="18" t="inlineStr">
        <is>
          <t>Proceso</t>
        </is>
      </c>
      <c r="C49" s="19" t="inlineStr"/>
      <c r="D49" s="19" t="inlineStr"/>
      <c r="E49" s="19" t="inlineStr"/>
      <c r="F49" s="20" t="inlineStr"/>
    </row>
    <row r="50" outlineLevel="3" ht="20" customHeight="1">
      <c r="A50" s="25" t="inlineStr">
        <is>
          <t>› Recepcion y Control de Stock Entrante</t>
        </is>
      </c>
      <c r="B50" s="26" t="inlineStr">
        <is>
          <t>Procedimiento</t>
        </is>
      </c>
      <c r="C50" s="27" t="inlineStr"/>
      <c r="D50" s="27" t="inlineStr"/>
      <c r="E50" s="27" t="inlineStr"/>
      <c r="F50" s="28" t="inlineStr"/>
    </row>
    <row r="51" outlineLevel="4" ht="20" customHeight="1">
      <c r="A51" s="29" t="inlineStr">
        <is>
          <t>• Conteo de stock recibido</t>
        </is>
      </c>
      <c r="B51" s="22" t="inlineStr">
        <is>
          <t>Tarea</t>
        </is>
      </c>
      <c r="C51" s="23" t="inlineStr">
        <is>
          <t>AB</t>
        </is>
      </c>
      <c r="D51" s="23" t="inlineStr">
        <is>
          <t>Semanal</t>
        </is>
      </c>
      <c r="E51" s="23" t="inlineStr">
        <is>
          <t>60</t>
        </is>
      </c>
      <c r="F51" s="24" t="inlineStr">
        <is>
          <t>Tiempo de origen (planilla Procesos Diarios) sin validar - no usar para calcular horas hasta confirmar con AB/RM</t>
        </is>
      </c>
    </row>
    <row r="52" outlineLevel="4" ht="20" customHeight="1">
      <c r="A52" s="29" t="inlineStr">
        <is>
          <t>• Control de stock recibido</t>
        </is>
      </c>
      <c r="B52" s="22" t="inlineStr">
        <is>
          <t>Tarea</t>
        </is>
      </c>
      <c r="C52" s="23" t="inlineStr">
        <is>
          <t>AB</t>
        </is>
      </c>
      <c r="D52" s="23" t="inlineStr">
        <is>
          <t>Semanal</t>
        </is>
      </c>
      <c r="E52" s="23" t="inlineStr">
        <is>
          <t>90</t>
        </is>
      </c>
      <c r="F52" s="24" t="inlineStr">
        <is>
          <t>Tiempo de origen (planilla Procesos Diarios) sin validar - no usar para calcular horas hasta confirmar con AB/RM</t>
        </is>
      </c>
    </row>
    <row r="53" outlineLevel="4" ht="20" customHeight="1">
      <c r="A53" s="29" t="inlineStr">
        <is>
          <t>• Sellado y etiquetado de stock recibido</t>
        </is>
      </c>
      <c r="B53" s="22" t="inlineStr">
        <is>
          <t>Tarea</t>
        </is>
      </c>
      <c r="C53" s="23" t="inlineStr">
        <is>
          <t>AB</t>
        </is>
      </c>
      <c r="D53" s="23" t="inlineStr">
        <is>
          <t>Semanal</t>
        </is>
      </c>
      <c r="E53" s="23" t="inlineStr">
        <is>
          <t>90</t>
        </is>
      </c>
      <c r="F53" s="24" t="inlineStr">
        <is>
          <t>Tiempo de origen (planilla Procesos Diarios) sin validar - no usar para calcular horas hasta confirmar con AB/RM</t>
        </is>
      </c>
    </row>
    <row r="54" outlineLevel="4" ht="20" customHeight="1">
      <c r="A54" s="29" t="inlineStr">
        <is>
          <t>• Almacenamiento de stock recibido</t>
        </is>
      </c>
      <c r="B54" s="22" t="inlineStr">
        <is>
          <t>Tarea</t>
        </is>
      </c>
      <c r="C54" s="23" t="inlineStr">
        <is>
          <t>AB</t>
        </is>
      </c>
      <c r="D54" s="23" t="inlineStr">
        <is>
          <t>Semanal</t>
        </is>
      </c>
      <c r="E54" s="23" t="inlineStr">
        <is>
          <t>90</t>
        </is>
      </c>
      <c r="F54" s="24" t="inlineStr">
        <is>
          <t>Tiempo de origen (planilla Procesos Diarios) sin validar - no usar para calcular horas hasta confirmar con AB/RM</t>
        </is>
      </c>
    </row>
    <row r="55" outlineLevel="3" ht="20" customHeight="1">
      <c r="A55" s="25" t="inlineStr">
        <is>
          <t>› Gestion de Insumos</t>
        </is>
      </c>
      <c r="B55" s="26" t="inlineStr">
        <is>
          <t>Procedimiento</t>
        </is>
      </c>
      <c r="C55" s="27" t="inlineStr"/>
      <c r="D55" s="27" t="inlineStr"/>
      <c r="E55" s="27" t="inlineStr"/>
      <c r="F55" s="28" t="inlineStr"/>
    </row>
    <row r="56" outlineLevel="4" ht="20" customHeight="1">
      <c r="A56" s="29" t="inlineStr">
        <is>
          <t>• Conteo de insumos (limpieza)</t>
        </is>
      </c>
      <c r="B56" s="22" t="inlineStr">
        <is>
          <t>Tarea</t>
        </is>
      </c>
      <c r="C56" s="23" t="inlineStr">
        <is>
          <t>AB</t>
        </is>
      </c>
      <c r="D56" s="23" t="inlineStr">
        <is>
          <t>Mensual</t>
        </is>
      </c>
      <c r="E56" s="23" t="inlineStr">
        <is>
          <t>10</t>
        </is>
      </c>
      <c r="F56" s="24" t="inlineStr">
        <is>
          <t>Dia/momento: Ultimo miercoles. | Tiempo de origen (planilla Procesos Diarios) sin validar - no usar para calcular horas hasta confirmar con AB/RM</t>
        </is>
      </c>
    </row>
    <row r="57" outlineLevel="4" ht="20" customHeight="1">
      <c r="A57" s="29" t="inlineStr">
        <is>
          <t>• Solicitud de insumos (limpieza)</t>
        </is>
      </c>
      <c r="B57" s="22" t="inlineStr">
        <is>
          <t>Tarea</t>
        </is>
      </c>
      <c r="C57" s="23" t="inlineStr">
        <is>
          <t>AB</t>
        </is>
      </c>
      <c r="D57" s="23" t="inlineStr">
        <is>
          <t>Mensual</t>
        </is>
      </c>
      <c r="E57" s="23" t="inlineStr">
        <is>
          <t>A confirmar</t>
        </is>
      </c>
      <c r="F57" s="24" t="inlineStr">
        <is>
          <t>Dia/momento: Ultimo miercoles. Nombre parcialmente ilegible en el PDF - confirmar</t>
        </is>
      </c>
    </row>
    <row r="58" outlineLevel="4" ht="20" customHeight="1">
      <c r="A58" s="29" t="inlineStr">
        <is>
          <t>• Conteo de insumos (cocina)</t>
        </is>
      </c>
      <c r="B58" s="22" t="inlineStr">
        <is>
          <t>Tarea</t>
        </is>
      </c>
      <c r="C58" s="23" t="inlineStr">
        <is>
          <t>AB</t>
        </is>
      </c>
      <c r="D58" s="23" t="inlineStr">
        <is>
          <t>Mensual</t>
        </is>
      </c>
      <c r="E58" s="23" t="inlineStr">
        <is>
          <t>10</t>
        </is>
      </c>
      <c r="F58" s="24" t="inlineStr">
        <is>
          <t>Dia/momento: Ultimo miercoles. | Tiempo de origen (planilla Procesos Diarios) sin validar - no usar para calcular horas hasta confirmar con AB/RM</t>
        </is>
      </c>
    </row>
    <row r="59" outlineLevel="4" ht="20" customHeight="1">
      <c r="A59" s="29" t="inlineStr">
        <is>
          <t>• Compra de insumos (cocina)</t>
        </is>
      </c>
      <c r="B59" s="22" t="inlineStr">
        <is>
          <t>Tarea</t>
        </is>
      </c>
      <c r="C59" s="23" t="inlineStr">
        <is>
          <t>AB</t>
        </is>
      </c>
      <c r="D59" s="23" t="inlineStr">
        <is>
          <t>Mensual</t>
        </is>
      </c>
      <c r="E59" s="23" t="inlineStr">
        <is>
          <t>A confirmar</t>
        </is>
      </c>
      <c r="F59" s="24" t="inlineStr">
        <is>
          <t>Dia/momento: Ultimo miercoles. Nombre parcialmente ilegible en el PDF - confirmar</t>
        </is>
      </c>
    </row>
    <row r="60" outlineLevel="4" ht="20" customHeight="1">
      <c r="A60" s="29" t="inlineStr">
        <is>
          <t>• Conteo de insumos (libreria)</t>
        </is>
      </c>
      <c r="B60" s="22" t="inlineStr">
        <is>
          <t>Tarea</t>
        </is>
      </c>
      <c r="C60" s="23" t="inlineStr">
        <is>
          <t>AB</t>
        </is>
      </c>
      <c r="D60" s="23" t="inlineStr">
        <is>
          <t>Mensual</t>
        </is>
      </c>
      <c r="E60" s="23" t="inlineStr">
        <is>
          <t>10</t>
        </is>
      </c>
      <c r="F60" s="24" t="inlineStr">
        <is>
          <t>Dia/momento: Ultimo miercoles. | Tiempo de origen (planilla Procesos Diarios) sin validar - no usar para calcular horas hasta confirmar con AB/RM</t>
        </is>
      </c>
    </row>
    <row r="61" outlineLevel="4" ht="20" customHeight="1">
      <c r="A61" s="29" t="inlineStr">
        <is>
          <t>• Solicitud de insumos (libreria)</t>
        </is>
      </c>
      <c r="B61" s="22" t="inlineStr">
        <is>
          <t>Tarea</t>
        </is>
      </c>
      <c r="C61" s="23" t="inlineStr">
        <is>
          <t>AB</t>
        </is>
      </c>
      <c r="D61" s="23" t="inlineStr">
        <is>
          <t>Mensual</t>
        </is>
      </c>
      <c r="E61" s="23" t="inlineStr">
        <is>
          <t>20</t>
        </is>
      </c>
      <c r="F61" s="24" t="inlineStr">
        <is>
          <t>Dia/momento: Ultimo miercoles. | Tiempo de origen (planilla Procesos Diarios) sin validar - no usar para calcular horas hasta confirmar con AB/RM</t>
        </is>
      </c>
    </row>
    <row r="62" outlineLevel="4" ht="20" customHeight="1">
      <c r="A62" s="29" t="inlineStr">
        <is>
          <t>• Conteo de insumos (botiquin)</t>
        </is>
      </c>
      <c r="B62" s="22" t="inlineStr">
        <is>
          <t>Tarea</t>
        </is>
      </c>
      <c r="C62" s="23" t="inlineStr">
        <is>
          <t>AB</t>
        </is>
      </c>
      <c r="D62" s="23" t="inlineStr">
        <is>
          <t>Mensual</t>
        </is>
      </c>
      <c r="E62" s="23" t="inlineStr">
        <is>
          <t>10</t>
        </is>
      </c>
      <c r="F62" s="24" t="inlineStr">
        <is>
          <t>Dia/momento: Ultimo miercoles. | Tiempo de origen (planilla Procesos Diarios) sin validar - no usar para calcular horas hasta confirmar con AB/RM</t>
        </is>
      </c>
    </row>
    <row r="63" outlineLevel="4" ht="20" customHeight="1">
      <c r="A63" s="29" t="inlineStr">
        <is>
          <t>• Solicitud de insumos (botiquin)</t>
        </is>
      </c>
      <c r="B63" s="22" t="inlineStr">
        <is>
          <t>Tarea</t>
        </is>
      </c>
      <c r="C63" s="23" t="inlineStr">
        <is>
          <t>AB</t>
        </is>
      </c>
      <c r="D63" s="23" t="inlineStr">
        <is>
          <t>Mensual</t>
        </is>
      </c>
      <c r="E63" s="23" t="inlineStr">
        <is>
          <t>20</t>
        </is>
      </c>
      <c r="F63" s="24" t="inlineStr">
        <is>
          <t>Dia/momento: Ultimo miercoles. | Tiempo de origen (planilla Procesos Diarios) sin validar - no usar para calcular horas hasta confirmar con AB/RM</t>
        </is>
      </c>
    </row>
    <row r="64" outlineLevel="4" ht="20" customHeight="1">
      <c r="A64" s="29" t="inlineStr">
        <is>
          <t>• Cargar facturas de insumos</t>
        </is>
      </c>
      <c r="B64" s="22" t="inlineStr">
        <is>
          <t>Tarea</t>
        </is>
      </c>
      <c r="C64" s="23" t="inlineStr">
        <is>
          <t>AB</t>
        </is>
      </c>
      <c r="D64" s="23" t="inlineStr">
        <is>
          <t>Semanal</t>
        </is>
      </c>
      <c r="E64" s="23" t="inlineStr">
        <is>
          <t>30</t>
        </is>
      </c>
      <c r="F64" s="24" t="inlineStr">
        <is>
          <t>Dia/momento: Jueves. | Tiempo de origen (planilla Procesos Diarios) sin validar - no usar para calcular horas hasta confirmar con AB/RM</t>
        </is>
      </c>
    </row>
    <row r="65" outlineLevel="3" ht="20" customHeight="1">
      <c r="A65" s="25" t="inlineStr">
        <is>
          <t>› Impresion de Documentacion</t>
        </is>
      </c>
      <c r="B65" s="26" t="inlineStr">
        <is>
          <t>Procedimiento</t>
        </is>
      </c>
      <c r="C65" s="27" t="inlineStr"/>
      <c r="D65" s="27" t="inlineStr"/>
      <c r="E65" s="27" t="inlineStr"/>
      <c r="F65" s="28" t="inlineStr"/>
    </row>
    <row r="66" outlineLevel="4" ht="20" customHeight="1">
      <c r="A66" s="29" t="inlineStr">
        <is>
          <t>• Impresion de Remito (egreso de equipos)</t>
        </is>
      </c>
      <c r="B66" s="22" t="inlineStr">
        <is>
          <t>Tarea</t>
        </is>
      </c>
      <c r="C66" s="23" t="inlineStr">
        <is>
          <t>AB</t>
        </is>
      </c>
      <c r="D66" s="23" t="inlineStr">
        <is>
          <t>Mensual (ideal: bimestral/trimestral)</t>
        </is>
      </c>
      <c r="E66" s="23" t="inlineStr">
        <is>
          <t>60</t>
        </is>
      </c>
      <c r="F66" s="24" t="inlineStr">
        <is>
          <t>Dia/momento: Ultimo miercoles. JL: hoy marcada mensual pero la idea es que sea bimensual/trimestral, imprimiendo de mas para no repetir seguido. Antes en 'Administracion General (AB)' como 'Control e impresion de R.E.E.'. | Tiempo de origen (planilla Procesos Diarios) sin validar - no usar para calcular horas hasta confirmar con AB/RM</t>
        </is>
      </c>
    </row>
    <row r="67" outlineLevel="4" ht="20" customHeight="1">
      <c r="A67" s="30" t="inlineStr">
        <is>
          <t>• Impresion de Entrega de Instalacion</t>
        </is>
      </c>
      <c r="B67" s="31" t="inlineStr">
        <is>
          <t>Tarea</t>
        </is>
      </c>
      <c r="C67" s="32" t="inlineStr">
        <is>
          <t>AB</t>
        </is>
      </c>
      <c r="D67" s="32" t="inlineStr">
        <is>
          <t>A confirmar</t>
        </is>
      </c>
      <c r="E67" s="32" t="inlineStr">
        <is>
          <t>A confirmar</t>
        </is>
      </c>
      <c r="F67" s="33" t="inlineStr">
        <is>
          <t>Probablemente compartida con RM (ver Impresion de O.D.S. en la lista de RM)</t>
        </is>
      </c>
    </row>
    <row r="68" outlineLevel="4" ht="20" customHeight="1">
      <c r="A68" s="30" t="inlineStr">
        <is>
          <t>• Impresion de Directivas Tecnicas</t>
        </is>
      </c>
      <c r="B68" s="31" t="inlineStr">
        <is>
          <t>Tarea</t>
        </is>
      </c>
      <c r="C68" s="32" t="inlineStr">
        <is>
          <t>AB</t>
        </is>
      </c>
      <c r="D68" s="32" t="inlineStr">
        <is>
          <t>A confirmar</t>
        </is>
      </c>
      <c r="E68" s="32" t="inlineStr">
        <is>
          <t>A confirmar</t>
        </is>
      </c>
      <c r="F68" s="33" t="inlineStr">
        <is>
          <t>Probablemente relacionada con 'Carga de Directivas tecnicas' de RM</t>
        </is>
      </c>
    </row>
    <row r="69" outlineLevel="4" ht="20" customHeight="1">
      <c r="A69" s="30" t="inlineStr">
        <is>
          <t>• Impresion de Relevamientos</t>
        </is>
      </c>
      <c r="B69" s="31" t="inlineStr">
        <is>
          <t>Tarea</t>
        </is>
      </c>
      <c r="C69" s="32" t="inlineStr">
        <is>
          <t>AB</t>
        </is>
      </c>
      <c r="D69" s="32" t="inlineStr">
        <is>
          <t>A confirmar</t>
        </is>
      </c>
      <c r="E69" s="32" t="inlineStr">
        <is>
          <t>A confirmar</t>
        </is>
      </c>
      <c r="F69" s="33" t="inlineStr"/>
    </row>
    <row r="70" outlineLevel="4" ht="20" customHeight="1">
      <c r="A70" s="30" t="inlineStr">
        <is>
          <t>• Impresion de Guias de Usuario</t>
        </is>
      </c>
      <c r="B70" s="31" t="inlineStr">
        <is>
          <t>Tarea</t>
        </is>
      </c>
      <c r="C70" s="32" t="inlineStr">
        <is>
          <t>AB</t>
        </is>
      </c>
      <c r="D70" s="32" t="inlineStr">
        <is>
          <t>A confirmar</t>
        </is>
      </c>
      <c r="E70" s="32" t="inlineStr">
        <is>
          <t>A confirmar</t>
        </is>
      </c>
      <c r="F70" s="33" t="inlineStr"/>
    </row>
    <row r="71" outlineLevel="4" ht="20" customHeight="1">
      <c r="A71" s="29" t="inlineStr">
        <is>
          <t>• Impresion de Ordenes de Servicio</t>
        </is>
      </c>
      <c r="B71" s="22" t="inlineStr">
        <is>
          <t>Tarea</t>
        </is>
      </c>
      <c r="C71" s="23" t="inlineStr">
        <is>
          <t>RM</t>
        </is>
      </c>
      <c r="D71" s="23" t="inlineStr">
        <is>
          <t>Mensual</t>
        </is>
      </c>
      <c r="E71" s="23" t="inlineStr">
        <is>
          <t>45</t>
        </is>
      </c>
      <c r="F71" s="24" t="inlineStr">
        <is>
          <t>Dia/momento: Primer jueves. Ya existia como 'Control/Imprimir O.D.S.' en la lista de RM - se agrupa aca dentro de Stock &gt; Impresion de Documentacion. | Tiempo de origen (planilla Procesos Diarios) sin validar - no usar para calcular horas hasta confirmar con AB/RM</t>
        </is>
      </c>
    </row>
    <row r="72" outlineLevel="3" ht="20" customHeight="1">
      <c r="A72" s="25" t="inlineStr">
        <is>
          <t>› Control de Flota / Vehiculos</t>
        </is>
      </c>
      <c r="B72" s="26" t="inlineStr">
        <is>
          <t>Procedimiento</t>
        </is>
      </c>
      <c r="C72" s="27" t="inlineStr"/>
      <c r="D72" s="27" t="inlineStr"/>
      <c r="E72" s="27" t="inlineStr"/>
      <c r="F72" s="28" t="inlineStr"/>
    </row>
    <row r="73" outlineLevel="4" ht="20" customHeight="1">
      <c r="A73" s="29" t="inlineStr">
        <is>
          <t>• Control ITV vehiculo OYS427</t>
        </is>
      </c>
      <c r="B73" s="22" t="inlineStr">
        <is>
          <t>Tarea</t>
        </is>
      </c>
      <c r="C73" s="23" t="inlineStr">
        <is>
          <t>AB</t>
        </is>
      </c>
      <c r="D73" s="23" t="inlineStr">
        <is>
          <t>Semestral</t>
        </is>
      </c>
      <c r="E73" s="23" t="inlineStr">
        <is>
          <t>120</t>
        </is>
      </c>
      <c r="F73" s="24" t="inlineStr">
        <is>
          <t>Dia/momento: Nov/May. | Tiempo de origen (planilla Procesos Diarios) sin validar - no usar para calcular horas hasta confirmar con AB/RM</t>
        </is>
      </c>
    </row>
    <row r="74" outlineLevel="4" ht="20" customHeight="1">
      <c r="A74" s="29" t="inlineStr">
        <is>
          <t>• Control impuestos vehiculo OYS427</t>
        </is>
      </c>
      <c r="B74" s="22" t="inlineStr">
        <is>
          <t>Tarea</t>
        </is>
      </c>
      <c r="C74" s="23" t="inlineStr">
        <is>
          <t>AB</t>
        </is>
      </c>
      <c r="D74" s="23" t="inlineStr">
        <is>
          <t>Semestral</t>
        </is>
      </c>
      <c r="E74" s="23" t="inlineStr">
        <is>
          <t>120</t>
        </is>
      </c>
      <c r="F74" s="24" t="inlineStr">
        <is>
          <t>Dia/momento: Nov/May. | Tiempo de origen (planilla Procesos Diarios) sin validar - no usar para calcular horas hasta confirmar con AB/RM</t>
        </is>
      </c>
    </row>
    <row r="75" outlineLevel="4" ht="20" customHeight="1">
      <c r="A75" s="29" t="inlineStr">
        <is>
          <t>• Control ITV vehiculo AE533YE</t>
        </is>
      </c>
      <c r="B75" s="22" t="inlineStr">
        <is>
          <t>Tarea</t>
        </is>
      </c>
      <c r="C75" s="23" t="inlineStr">
        <is>
          <t>AB</t>
        </is>
      </c>
      <c r="D75" s="23" t="inlineStr">
        <is>
          <t>Semestral</t>
        </is>
      </c>
      <c r="E75" s="23" t="inlineStr">
        <is>
          <t>120</t>
        </is>
      </c>
      <c r="F75" s="24" t="inlineStr">
        <is>
          <t>Dia/momento: Nov/May. | Tiempo de origen (planilla Procesos Diarios) sin validar - no usar para calcular horas hasta confirmar con AB/RM</t>
        </is>
      </c>
    </row>
    <row r="76" outlineLevel="4" ht="20" customHeight="1">
      <c r="A76" s="29" t="inlineStr">
        <is>
          <t>• Control impuestos vehiculo AE533YE</t>
        </is>
      </c>
      <c r="B76" s="22" t="inlineStr">
        <is>
          <t>Tarea</t>
        </is>
      </c>
      <c r="C76" s="23" t="inlineStr">
        <is>
          <t>AB</t>
        </is>
      </c>
      <c r="D76" s="23" t="inlineStr">
        <is>
          <t>Semestral</t>
        </is>
      </c>
      <c r="E76" s="23" t="inlineStr">
        <is>
          <t>120</t>
        </is>
      </c>
      <c r="F76" s="24" t="inlineStr">
        <is>
          <t>Dia/momento: Nov/May. | Tiempo de origen (planilla Procesos Diarios) sin validar - no usar para calcular horas hasta confirmar con AB/RM</t>
        </is>
      </c>
    </row>
    <row r="77" outlineLevel="4" ht="20" customHeight="1">
      <c r="A77" s="30" t="inlineStr">
        <is>
          <t>• Control de deudas (por vehiculo)</t>
        </is>
      </c>
      <c r="B77" s="31" t="inlineStr">
        <is>
          <t>Tarea</t>
        </is>
      </c>
      <c r="C77" s="32" t="inlineStr">
        <is>
          <t>AB</t>
        </is>
      </c>
      <c r="D77" s="32" t="inlineStr">
        <is>
          <t>A confirmar</t>
        </is>
      </c>
      <c r="E77" s="32" t="inlineStr">
        <is>
          <t>A confirmar</t>
        </is>
      </c>
      <c r="F77" s="33" t="inlineStr">
        <is>
          <t>Falta definir para cuales vehiculos y con que frecuencia</t>
        </is>
      </c>
    </row>
    <row r="78" outlineLevel="4" ht="20" customHeight="1">
      <c r="A78" s="30" t="inlineStr">
        <is>
          <t>• Control de multas (por vehiculo)</t>
        </is>
      </c>
      <c r="B78" s="31" t="inlineStr">
        <is>
          <t>Tarea</t>
        </is>
      </c>
      <c r="C78" s="32" t="inlineStr">
        <is>
          <t>AB</t>
        </is>
      </c>
      <c r="D78" s="32" t="inlineStr">
        <is>
          <t>A confirmar</t>
        </is>
      </c>
      <c r="E78" s="32" t="inlineStr">
        <is>
          <t>A confirmar</t>
        </is>
      </c>
      <c r="F78" s="33" t="inlineStr">
        <is>
          <t>Falta definir para cuales vehiculos y con que frecuencia</t>
        </is>
      </c>
    </row>
    <row r="79" outlineLevel="4" ht="20" customHeight="1">
      <c r="A79" s="30" t="inlineStr">
        <is>
          <t>• GAP: 2 vehiculos sin control asignado</t>
        </is>
      </c>
      <c r="B79" s="31" t="inlineStr">
        <is>
          <t>Tarea</t>
        </is>
      </c>
      <c r="C79" s="32" t="inlineStr">
        <is>
          <t>Sin asignar</t>
        </is>
      </c>
      <c r="D79" s="32" t="inlineStr">
        <is>
          <t>N/A</t>
        </is>
      </c>
      <c r="E79" s="32" t="inlineStr">
        <is>
          <t>N/A</t>
        </is>
      </c>
      <c r="F79" s="33" t="inlineStr">
        <is>
          <t>JL (18/08/2026): 'las que tenemos que ver realmente son seis'</t>
        </is>
      </c>
    </row>
    <row r="80" outlineLevel="3" ht="20" customHeight="1">
      <c r="A80" s="25" t="inlineStr">
        <is>
          <t>› Puesta en Valor de Equipos (nombre tentativo)</t>
        </is>
      </c>
      <c r="B80" s="26" t="inlineStr">
        <is>
          <t>Procedimiento</t>
        </is>
      </c>
      <c r="C80" s="27" t="inlineStr"/>
      <c r="D80" s="27" t="inlineStr"/>
      <c r="E80" s="27" t="inlineStr"/>
      <c r="F80" s="28" t="inlineStr"/>
    </row>
    <row r="81" outlineLevel="4" ht="20" customHeight="1">
      <c r="A81" s="29" t="inlineStr">
        <is>
          <t>• Recuperacion de equipos CP4000</t>
        </is>
      </c>
      <c r="B81" s="22" t="inlineStr">
        <is>
          <t>Tarea</t>
        </is>
      </c>
      <c r="C81" s="23" t="inlineStr">
        <is>
          <t>AB</t>
        </is>
      </c>
      <c r="D81" s="23" t="inlineStr">
        <is>
          <t>A confirmar</t>
        </is>
      </c>
      <c r="E81" s="23" t="inlineStr">
        <is>
          <t>A confirmar</t>
        </is>
      </c>
      <c r="F81" s="24" t="inlineStr">
        <is>
          <t>JL (18/08/2026): no sabia bien donde etiquetarla, la puso como nuevo procedimiento tentativo dentro de Stock</t>
        </is>
      </c>
    </row>
    <row r="82" outlineLevel="4" ht="20" customHeight="1">
      <c r="A82" s="29" t="inlineStr">
        <is>
          <t>• Recuperacion de equipos AXpro</t>
        </is>
      </c>
      <c r="B82" s="22" t="inlineStr">
        <is>
          <t>Tarea</t>
        </is>
      </c>
      <c r="C82" s="23" t="inlineStr">
        <is>
          <t>AB</t>
        </is>
      </c>
      <c r="D82" s="23" t="inlineStr">
        <is>
          <t>A confirmar</t>
        </is>
      </c>
      <c r="E82" s="23" t="inlineStr">
        <is>
          <t>A confirmar</t>
        </is>
      </c>
      <c r="F82" s="24" t="inlineStr">
        <is>
          <t>JL (18/08/2026): idem anterior</t>
        </is>
      </c>
    </row>
    <row r="83" outlineLevel="3" ht="20" customHeight="1">
      <c r="A83" s="25" t="inlineStr">
        <is>
          <t>› Control de Stock - Sede NCS</t>
        </is>
      </c>
      <c r="B83" s="26" t="inlineStr">
        <is>
          <t>Procedimiento</t>
        </is>
      </c>
      <c r="C83" s="27" t="inlineStr"/>
      <c r="D83" s="27" t="inlineStr"/>
      <c r="E83" s="27" t="inlineStr"/>
      <c r="F83" s="28" t="inlineStr"/>
    </row>
    <row r="84" outlineLevel="4" ht="20" customHeight="1">
      <c r="A84" s="29" t="inlineStr">
        <is>
          <t>• Reposicion de Stock NCS</t>
        </is>
      </c>
      <c r="B84" s="22" t="inlineStr">
        <is>
          <t>Tarea</t>
        </is>
      </c>
      <c r="C84" s="23" t="inlineStr">
        <is>
          <t>AB</t>
        </is>
      </c>
      <c r="D84" s="23" t="inlineStr">
        <is>
          <t>Semanal</t>
        </is>
      </c>
      <c r="E84" s="23" t="inlineStr">
        <is>
          <t>60</t>
        </is>
      </c>
      <c r="F84" s="24" t="inlineStr">
        <is>
          <t>Dia/momento: Jueves. Dia real relevado es jueves, no viernes - confirmar. | Tiempo de origen (planilla Procesos Diarios) sin validar - no usar para calcular horas hasta confirmar con AB/RM</t>
        </is>
      </c>
    </row>
    <row r="85" outlineLevel="4" ht="20" customHeight="1">
      <c r="A85" s="29" t="inlineStr">
        <is>
          <t>• Control de Stock NCS (sistema XBIS)</t>
        </is>
      </c>
      <c r="B85" s="22" t="inlineStr">
        <is>
          <t>Tarea</t>
        </is>
      </c>
      <c r="C85" s="23" t="inlineStr">
        <is>
          <t>AB</t>
        </is>
      </c>
      <c r="D85" s="23" t="inlineStr">
        <is>
          <t>Semanal</t>
        </is>
      </c>
      <c r="E85" s="23" t="inlineStr">
        <is>
          <t>A confirmar</t>
        </is>
      </c>
      <c r="F85" s="24" t="inlineStr">
        <is>
          <t>Dia/momento: Miercoles. Antes era 1 sola tarea 'Control stock NCS y conteo (Ezviz/Easy)'; JL aclaro que son 2 sistemas distintos (XBIS y EZLink) - se separa en 2 tareas, falta tiempo de cada una</t>
        </is>
      </c>
    </row>
    <row r="86" outlineLevel="4" ht="20" customHeight="1">
      <c r="A86" s="29" t="inlineStr">
        <is>
          <t>• Control de Stock NCS (sistema EZLink)</t>
        </is>
      </c>
      <c r="B86" s="22" t="inlineStr">
        <is>
          <t>Tarea</t>
        </is>
      </c>
      <c r="C86" s="23" t="inlineStr">
        <is>
          <t>AB</t>
        </is>
      </c>
      <c r="D86" s="23" t="inlineStr">
        <is>
          <t>Semanal</t>
        </is>
      </c>
      <c r="E86" s="23" t="inlineStr">
        <is>
          <t>A confirmar</t>
        </is>
      </c>
      <c r="F86" s="24" t="inlineStr">
        <is>
          <t>Dia/momento: Miercoles. Ver nota en la fila de XBIS</t>
        </is>
      </c>
    </row>
    <row r="87" outlineLevel="3" ht="20" customHeight="1">
      <c r="A87" s="25" t="inlineStr">
        <is>
          <t>› Control de Receptoras</t>
        </is>
      </c>
      <c r="B87" s="26" t="inlineStr">
        <is>
          <t>Procedimiento</t>
        </is>
      </c>
      <c r="C87" s="27" t="inlineStr"/>
      <c r="D87" s="27" t="inlineStr"/>
      <c r="E87" s="27" t="inlineStr"/>
      <c r="F87" s="28" t="inlineStr"/>
    </row>
    <row r="88" outlineLevel="4" ht="20" customHeight="1">
      <c r="A88" s="29" t="inlineStr">
        <is>
          <t>• Control de buen estado receptoras IPR512 (R-04)</t>
        </is>
      </c>
      <c r="B88" s="22" t="inlineStr">
        <is>
          <t>Tarea</t>
        </is>
      </c>
      <c r="C88" s="23" t="inlineStr">
        <is>
          <t>AB</t>
        </is>
      </c>
      <c r="D88" s="23" t="inlineStr">
        <is>
          <t>Diario</t>
        </is>
      </c>
      <c r="E88" s="23" t="inlineStr">
        <is>
          <t>10</t>
        </is>
      </c>
      <c r="F88" s="24" t="inlineStr">
        <is>
          <t>Tiempo de origen (planilla Procesos Diarios) sin validar - no usar para calcular horas hasta confirmar con AB/RM</t>
        </is>
      </c>
    </row>
    <row r="89" outlineLevel="4" ht="20" customHeight="1">
      <c r="A89" s="29" t="inlineStr">
        <is>
          <t>• Mandar mensajes a AVATEC 01</t>
        </is>
      </c>
      <c r="B89" s="22" t="inlineStr">
        <is>
          <t>Tarea</t>
        </is>
      </c>
      <c r="C89" s="23" t="inlineStr">
        <is>
          <t>AB</t>
        </is>
      </c>
      <c r="D89" s="23" t="inlineStr">
        <is>
          <t>Diario</t>
        </is>
      </c>
      <c r="E89" s="23" t="inlineStr">
        <is>
          <t>10</t>
        </is>
      </c>
      <c r="F89" s="24" t="inlineStr">
        <is>
          <t>Reubicada desde 'Administracion General (AB)'. | Tiempo de origen (planilla Procesos Diarios) sin validar - no usar para calcular horas hasta confirmar con AB/RM</t>
        </is>
      </c>
    </row>
    <row r="90" outlineLevel="4" ht="20" customHeight="1">
      <c r="A90" s="30" t="inlineStr">
        <is>
          <t>• GAP: protocolo cuando una receptora no funciona</t>
        </is>
      </c>
      <c r="B90" s="31" t="inlineStr">
        <is>
          <t>Tarea</t>
        </is>
      </c>
      <c r="C90" s="32" t="inlineStr">
        <is>
          <t>Sin asignar</t>
        </is>
      </c>
      <c r="D90" s="32" t="inlineStr">
        <is>
          <t>N/A</t>
        </is>
      </c>
      <c r="E90" s="32" t="inlineStr">
        <is>
          <t>N/A</t>
        </is>
      </c>
      <c r="F90" s="33" t="inlineStr">
        <is>
          <t>JL (18/08/2026): 'habria que hacer un proceso de saber que hacer cuando no funcionan correctamente'</t>
        </is>
      </c>
    </row>
    <row r="91" outlineLevel="3" ht="20" customHeight="1">
      <c r="A91" s="25" t="inlineStr">
        <is>
          <t>› Control de Carteleria</t>
        </is>
      </c>
      <c r="B91" s="26" t="inlineStr">
        <is>
          <t>Procedimiento</t>
        </is>
      </c>
      <c r="C91" s="27" t="inlineStr"/>
      <c r="D91" s="27" t="inlineStr"/>
      <c r="E91" s="27" t="inlineStr"/>
      <c r="F91" s="28" t="inlineStr"/>
    </row>
    <row r="92" outlineLevel="4" ht="20" customHeight="1">
      <c r="A92" s="29" t="inlineStr">
        <is>
          <t>• Control de carteleria</t>
        </is>
      </c>
      <c r="B92" s="22" t="inlineStr">
        <is>
          <t>Tarea</t>
        </is>
      </c>
      <c r="C92" s="23" t="inlineStr">
        <is>
          <t>AB</t>
        </is>
      </c>
      <c r="D92" s="23" t="inlineStr">
        <is>
          <t>Mensual</t>
        </is>
      </c>
      <c r="E92" s="23" t="inlineStr">
        <is>
          <t>5</t>
        </is>
      </c>
      <c r="F92" s="24" t="inlineStr">
        <is>
          <t>Dia/momento: Primer dia. Reubicada desde 'Administracion General (AB)'; ubicacion dentro de Stock es tentativa, JL no la asigno explicitamente. | Tiempo de origen (planilla Procesos Diarios) sin validar - no usar para calcular horas hasta confirmar con AB/RM</t>
        </is>
      </c>
    </row>
    <row r="93" outlineLevel="1" ht="30" customHeight="1">
      <c r="A93" s="13" t="inlineStr">
        <is>
          <t>▸ RM - Ruben Moreyra</t>
        </is>
      </c>
      <c r="B93" s="14" t="inlineStr">
        <is>
          <t>Rama</t>
        </is>
      </c>
      <c r="C93" s="15" t="inlineStr"/>
      <c r="D93" s="15" t="inlineStr"/>
      <c r="E93" s="15" t="inlineStr"/>
      <c r="F93" s="16" t="inlineStr"/>
    </row>
    <row r="94" outlineLevel="2" ht="30" customHeight="1">
      <c r="A94" s="17" t="inlineStr">
        <is>
          <t>→ Lunes - TOP10</t>
        </is>
      </c>
      <c r="B94" s="18" t="inlineStr">
        <is>
          <t>Proceso</t>
        </is>
      </c>
      <c r="C94" s="19" t="inlineStr"/>
      <c r="D94" s="19" t="inlineStr"/>
      <c r="E94" s="19" t="inlineStr"/>
      <c r="F94" s="20" t="inlineStr"/>
    </row>
    <row r="95" outlineLevel="3" ht="20" customHeight="1">
      <c r="A95" s="25" t="inlineStr">
        <is>
          <t>› Elaboracion y envio del informe semanal TOP10</t>
        </is>
      </c>
      <c r="B95" s="26" t="inlineStr">
        <is>
          <t>Procedimiento</t>
        </is>
      </c>
      <c r="C95" s="27" t="inlineStr"/>
      <c r="D95" s="27" t="inlineStr"/>
      <c r="E95" s="27" t="inlineStr"/>
      <c r="F95" s="28" t="inlineStr"/>
    </row>
    <row r="96" outlineLevel="4" ht="20" customHeight="1">
      <c r="A96" s="29" t="inlineStr">
        <is>
          <t>• Ingresar a monitoreo.com y generar el Resumen Semanal de Eventos</t>
        </is>
      </c>
      <c r="B96" s="22" t="inlineStr">
        <is>
          <t>Tarea</t>
        </is>
      </c>
      <c r="C96" s="23" t="inlineStr">
        <is>
          <t>RM (Ruben Moreyra)</t>
        </is>
      </c>
      <c r="D96" s="23" t="inlineStr">
        <is>
          <t>Semanal</t>
        </is>
      </c>
      <c r="E96" s="23" t="inlineStr">
        <is>
          <t>A confirmar</t>
        </is>
      </c>
      <c r="F96" s="24" t="inlineStr">
        <is>
          <t>Pasos 1-2 del instructivo Proceso-TOP10-06UB-AUE260420</t>
        </is>
      </c>
    </row>
    <row r="97" outlineLevel="4" ht="20" customHeight="1">
      <c r="A97" s="29" t="inlineStr">
        <is>
          <t>• Filtrar por Total Operados y extraer el TOP10 de clientes</t>
        </is>
      </c>
      <c r="B97" s="22" t="inlineStr">
        <is>
          <t>Tarea</t>
        </is>
      </c>
      <c r="C97" s="23" t="inlineStr">
        <is>
          <t>RM (Ruben Moreyra)</t>
        </is>
      </c>
      <c r="D97" s="23" t="inlineStr">
        <is>
          <t>Semanal</t>
        </is>
      </c>
      <c r="E97" s="23" t="inlineStr">
        <is>
          <t>A confirmar</t>
        </is>
      </c>
      <c r="F97" s="24" t="inlineStr">
        <is>
          <t>Paso 3</t>
        </is>
      </c>
    </row>
    <row r="98" outlineLevel="4" ht="20" customHeight="1">
      <c r="A98" s="29" t="inlineStr">
        <is>
          <t>• Actualizar planilla Evento Semana por Semana (nueva hoja+formato)</t>
        </is>
      </c>
      <c r="B98" s="22" t="inlineStr">
        <is>
          <t>Tarea</t>
        </is>
      </c>
      <c r="C98" s="23" t="inlineStr">
        <is>
          <t>RM (Ruben Moreyra)</t>
        </is>
      </c>
      <c r="D98" s="23" t="inlineStr">
        <is>
          <t>Semanal</t>
        </is>
      </c>
      <c r="E98" s="23" t="inlineStr">
        <is>
          <t>A confirmar</t>
        </is>
      </c>
      <c r="F98" s="24" t="inlineStr">
        <is>
          <t>Pasos 4-5</t>
        </is>
      </c>
    </row>
    <row r="99" outlineLevel="4" ht="20" customHeight="1">
      <c r="A99" s="29" t="inlineStr">
        <is>
          <t>• Completar fila de la semana en Eventos por Semana (indicadores)</t>
        </is>
      </c>
      <c r="B99" s="22" t="inlineStr">
        <is>
          <t>Tarea</t>
        </is>
      </c>
      <c r="C99" s="23" t="inlineStr">
        <is>
          <t>RM (Ruben Moreyra)</t>
        </is>
      </c>
      <c r="D99" s="23" t="inlineStr">
        <is>
          <t>Semanal</t>
        </is>
      </c>
      <c r="E99" s="23" t="inlineStr">
        <is>
          <t>A confirmar</t>
        </is>
      </c>
      <c r="F99" s="24" t="inlineStr">
        <is>
          <t>Paso 6</t>
        </is>
      </c>
    </row>
    <row r="100" outlineLevel="4" ht="20" customHeight="1">
      <c r="A100" s="29" t="inlineStr">
        <is>
          <t>• Completar hoja Analisis TOP10</t>
        </is>
      </c>
      <c r="B100" s="22" t="inlineStr">
        <is>
          <t>Tarea</t>
        </is>
      </c>
      <c r="C100" s="23" t="inlineStr">
        <is>
          <t>RM (Ruben Moreyra)</t>
        </is>
      </c>
      <c r="D100" s="23" t="inlineStr">
        <is>
          <t>Semanal</t>
        </is>
      </c>
      <c r="E100" s="23" t="inlineStr">
        <is>
          <t>A confirmar</t>
        </is>
      </c>
      <c r="F100" s="24" t="inlineStr">
        <is>
          <t>Paso 7</t>
        </is>
      </c>
    </row>
    <row r="101" outlineLevel="4" ht="20" customHeight="1">
      <c r="A101" s="29" t="inlineStr">
        <is>
          <t>• Redactar correo del informe TOP10 con cuadros y enlaces</t>
        </is>
      </c>
      <c r="B101" s="22" t="inlineStr">
        <is>
          <t>Tarea</t>
        </is>
      </c>
      <c r="C101" s="23" t="inlineStr">
        <is>
          <t>RM (Ruben Moreyra)</t>
        </is>
      </c>
      <c r="D101" s="23" t="inlineStr">
        <is>
          <t>Semanal</t>
        </is>
      </c>
      <c r="E101" s="23" t="inlineStr">
        <is>
          <t>A confirmar</t>
        </is>
      </c>
      <c r="F101" s="24" t="inlineStr">
        <is>
          <t>Pasos 8-10</t>
        </is>
      </c>
    </row>
    <row r="102" outlineLevel="4" ht="20" customHeight="1">
      <c r="A102" s="29" t="inlineStr">
        <is>
          <t>• Enviar correo del informe TOP10 a DIR/TEC/AYL</t>
        </is>
      </c>
      <c r="B102" s="22" t="inlineStr">
        <is>
          <t>Tarea</t>
        </is>
      </c>
      <c r="C102" s="23" t="inlineStr">
        <is>
          <t>RM (Ruben Moreyra)</t>
        </is>
      </c>
      <c r="D102" s="23" t="inlineStr">
        <is>
          <t>Semanal</t>
        </is>
      </c>
      <c r="E102" s="23" t="inlineStr">
        <is>
          <t>A confirmar</t>
        </is>
      </c>
      <c r="F102" s="24" t="inlineStr">
        <is>
          <t>Paso 11 - fin fase 1</t>
        </is>
      </c>
    </row>
    <row r="103" outlineLevel="4" ht="20" customHeight="1">
      <c r="A103" s="29" t="inlineStr">
        <is>
          <t>• Indagar y documentar la gestion realizada con cada cliente del TOP10</t>
        </is>
      </c>
      <c r="B103" s="22" t="inlineStr">
        <is>
          <t>Tarea</t>
        </is>
      </c>
      <c r="C103" s="23" t="inlineStr">
        <is>
          <t>RM (Ruben Moreyra)</t>
        </is>
      </c>
      <c r="D103" s="23" t="inlineStr">
        <is>
          <t>Semanal</t>
        </is>
      </c>
      <c r="E103" s="23" t="inlineStr">
        <is>
          <t>A confirmar</t>
        </is>
      </c>
      <c r="F103" s="24" t="inlineStr">
        <is>
          <t>Paso 12 - Observaciones, requiere contactar a cada cliente/tecnico</t>
        </is>
      </c>
    </row>
    <row r="104" outlineLevel="4" ht="20" customHeight="1">
      <c r="A104" s="29" t="inlineStr">
        <is>
          <t>• Actualizar seguimiento del TOP10 de la semana anterior (Control Semana por Semana)</t>
        </is>
      </c>
      <c r="B104" s="22" t="inlineStr">
        <is>
          <t>Tarea</t>
        </is>
      </c>
      <c r="C104" s="23" t="inlineStr">
        <is>
          <t>RM (Ruben Moreyra)</t>
        </is>
      </c>
      <c r="D104" s="23" t="inlineStr">
        <is>
          <t>Semanal</t>
        </is>
      </c>
      <c r="E104" s="23" t="inlineStr">
        <is>
          <t>A confirmar</t>
        </is>
      </c>
      <c r="F104" s="24" t="inlineStr">
        <is>
          <t>Paso 13</t>
        </is>
      </c>
    </row>
    <row r="105" outlineLevel="4" ht="20" customHeight="1">
      <c r="A105" s="29" t="inlineStr">
        <is>
          <t>• Enviar respuesta final del informe con observaciones</t>
        </is>
      </c>
      <c r="B105" s="22" t="inlineStr">
        <is>
          <t>Tarea</t>
        </is>
      </c>
      <c r="C105" s="23" t="inlineStr">
        <is>
          <t>RM (Ruben Moreyra)</t>
        </is>
      </c>
      <c r="D105" s="23" t="inlineStr">
        <is>
          <t>Semanal</t>
        </is>
      </c>
      <c r="E105" s="23" t="inlineStr">
        <is>
          <t>A confirmar</t>
        </is>
      </c>
      <c r="F105" s="24" t="inlineStr">
        <is>
          <t>Pasos 14 y 16</t>
        </is>
      </c>
    </row>
    <row r="106" outlineLevel="4" ht="20" customHeight="1">
      <c r="A106" s="29" t="inlineStr">
        <is>
          <t>• Actualizar Base de Datos de clientes (previo al informe)</t>
        </is>
      </c>
      <c r="B106" s="22" t="inlineStr">
        <is>
          <t>Tarea</t>
        </is>
      </c>
      <c r="C106" s="23" t="inlineStr">
        <is>
          <t>RM</t>
        </is>
      </c>
      <c r="D106" s="23" t="inlineStr">
        <is>
          <t>Semanal</t>
        </is>
      </c>
      <c r="E106" s="23" t="inlineStr">
        <is>
          <t>A confirmar</t>
        </is>
      </c>
      <c r="F106" s="24" t="inlineStr">
        <is>
          <t>Dia/momento: Lunes. Tiempo no relevado en el PDF - confirmar</t>
        </is>
      </c>
    </row>
    <row r="107" outlineLevel="2" ht="30" customHeight="1">
      <c r="A107" s="17" t="inlineStr">
        <is>
          <t>→ Viernes - Revision de Eventos Diarios / Red</t>
        </is>
      </c>
      <c r="B107" s="18" t="inlineStr">
        <is>
          <t>Proceso</t>
        </is>
      </c>
      <c r="C107" s="19" t="inlineStr"/>
      <c r="D107" s="19" t="inlineStr"/>
      <c r="E107" s="19" t="inlineStr"/>
      <c r="F107" s="20" t="inlineStr"/>
    </row>
    <row r="108" outlineLevel="3" ht="20" customHeight="1">
      <c r="A108" s="25" t="inlineStr">
        <is>
          <t>› Pendiente de desglose</t>
        </is>
      </c>
      <c r="B108" s="26" t="inlineStr">
        <is>
          <t>Procedimiento</t>
        </is>
      </c>
      <c r="C108" s="27" t="inlineStr"/>
      <c r="D108" s="27" t="inlineStr"/>
      <c r="E108" s="27" t="inlineStr"/>
      <c r="F108" s="28" t="inlineStr"/>
    </row>
    <row r="109" outlineLevel="4" ht="20" customHeight="1">
      <c r="A109" s="29" t="inlineStr">
        <is>
          <t>• Pendiente de desglose (a detallar con RM)</t>
        </is>
      </c>
      <c r="B109" s="22" t="inlineStr">
        <is>
          <t>Tarea</t>
        </is>
      </c>
      <c r="C109" s="23" t="inlineStr">
        <is>
          <t>RM (Ruben Moreyra)</t>
        </is>
      </c>
      <c r="D109" s="23" t="inlineStr">
        <is>
          <t>Semanal (viernes)</t>
        </is>
      </c>
      <c r="E109" s="23" t="inlineStr">
        <is>
          <t>A confirmar</t>
        </is>
      </c>
      <c r="F109" s="24" t="inlineStr">
        <is>
          <t>Dia asignado: viernes, comparte el dia con Revision de eventos diarios (ver fila siguiente) - son dos procesos distintos en un solo dia</t>
        </is>
      </c>
    </row>
    <row r="110" outlineLevel="4" ht="20" customHeight="1">
      <c r="A110" s="29" t="inlineStr">
        <is>
          <t>• Pendiente de desglose (a detallar con RM)</t>
        </is>
      </c>
      <c r="B110" s="22" t="inlineStr">
        <is>
          <t>Tarea</t>
        </is>
      </c>
      <c r="C110" s="23" t="inlineStr">
        <is>
          <t>RM (Ruben Moreyra)</t>
        </is>
      </c>
      <c r="D110" s="23" t="inlineStr">
        <is>
          <t>Diaria</t>
        </is>
      </c>
      <c r="E110" s="23" t="inlineStr">
        <is>
          <t>A confirmar</t>
        </is>
      </c>
      <c r="F110" s="24" t="inlineStr">
        <is>
          <t>Se ejecuta todos los dias pero se prioriza/cierra los viernes junto con Red - revisar si es realmente semanal o diaria</t>
        </is>
      </c>
    </row>
    <row r="111" outlineLevel="2" ht="30" customHeight="1">
      <c r="A111" s="17" t="inlineStr">
        <is>
          <t>→ Rutina Administrativa Diaria (RM)</t>
        </is>
      </c>
      <c r="B111" s="18" t="inlineStr">
        <is>
          <t>Proceso</t>
        </is>
      </c>
      <c r="C111" s="19" t="inlineStr"/>
      <c r="D111" s="19" t="inlineStr"/>
      <c r="E111" s="19" t="inlineStr"/>
      <c r="F111" s="20" t="inlineStr"/>
    </row>
    <row r="112" outlineLevel="3" ht="20" customHeight="1">
      <c r="A112" s="21" t="inlineStr">
        <is>
          <t>• Aviso y coordinacion con ST</t>
        </is>
      </c>
      <c r="B112" s="22" t="inlineStr">
        <is>
          <t>Tarea</t>
        </is>
      </c>
      <c r="C112" s="23" t="inlineStr">
        <is>
          <t>RM</t>
        </is>
      </c>
      <c r="D112" s="23" t="inlineStr">
        <is>
          <t>Diario</t>
        </is>
      </c>
      <c r="E112" s="23" t="inlineStr">
        <is>
          <t>45</t>
        </is>
      </c>
      <c r="F112" s="24" t="inlineStr">
        <is>
          <t>Dia/momento: Primer dia. | Tiempo de origen (planilla Procesos Diarios) sin validar - no usar para calcular horas hasta confirmar con AB/RM</t>
        </is>
      </c>
    </row>
    <row r="113" outlineLevel="3" ht="20" customHeight="1">
      <c r="A113" s="21" t="inlineStr">
        <is>
          <t>• Subir informe de tareas diarias</t>
        </is>
      </c>
      <c r="B113" s="22" t="inlineStr">
        <is>
          <t>Tarea</t>
        </is>
      </c>
      <c r="C113" s="23" t="inlineStr">
        <is>
          <t>RM</t>
        </is>
      </c>
      <c r="D113" s="23" t="inlineStr">
        <is>
          <t>Diario</t>
        </is>
      </c>
      <c r="E113" s="23" t="inlineStr">
        <is>
          <t>5</t>
        </is>
      </c>
      <c r="F113" s="24" t="inlineStr">
        <is>
          <t>Dia/momento: Primer dia. | Tiempo de origen (planilla Procesos Diarios) sin validar - no usar para calcular horas hasta confirmar con AB/RM</t>
        </is>
      </c>
    </row>
    <row r="114" outlineLevel="3" ht="20" customHeight="1">
      <c r="A114" s="21" t="inlineStr">
        <is>
          <t>• Chequeo de ST realizados en el dia</t>
        </is>
      </c>
      <c r="B114" s="22" t="inlineStr">
        <is>
          <t>Tarea</t>
        </is>
      </c>
      <c r="C114" s="23" t="inlineStr">
        <is>
          <t>RM</t>
        </is>
      </c>
      <c r="D114" s="23" t="inlineStr">
        <is>
          <t>Diario</t>
        </is>
      </c>
      <c r="E114" s="23" t="inlineStr">
        <is>
          <t>15</t>
        </is>
      </c>
      <c r="F114" s="24" t="inlineStr">
        <is>
          <t>Dia/momento: Primer dia. | Tiempo de origen (planilla Procesos Diarios) sin validar - no usar para calcular horas hasta confirmar con AB/RM</t>
        </is>
      </c>
    </row>
    <row r="115" outlineLevel="3" ht="20" customHeight="1">
      <c r="A115" s="21" t="inlineStr">
        <is>
          <t>• Contestar mensajes de clientes/mail (primera hora)</t>
        </is>
      </c>
      <c r="B115" s="22" t="inlineStr">
        <is>
          <t>Tarea</t>
        </is>
      </c>
      <c r="C115" s="23" t="inlineStr">
        <is>
          <t>RM</t>
        </is>
      </c>
      <c r="D115" s="23" t="inlineStr">
        <is>
          <t>Diario</t>
        </is>
      </c>
      <c r="E115" s="23" t="inlineStr">
        <is>
          <t>60</t>
        </is>
      </c>
      <c r="F115" s="24" t="inlineStr">
        <is>
          <t>Dia/momento: Primer dia. | Tiempo de origen (planilla Procesos Diarios) sin validar - no usar para calcular horas hasta confirmar con AB/RM</t>
        </is>
      </c>
    </row>
    <row r="116" outlineLevel="3" ht="20" customHeight="1">
      <c r="A116" s="21" t="inlineStr">
        <is>
          <t>• Revisar planilla de Procesos (primera hora)</t>
        </is>
      </c>
      <c r="B116" s="22" t="inlineStr">
        <is>
          <t>Tarea</t>
        </is>
      </c>
      <c r="C116" s="23" t="inlineStr">
        <is>
          <t>RM</t>
        </is>
      </c>
      <c r="D116" s="23" t="inlineStr">
        <is>
          <t>Diario</t>
        </is>
      </c>
      <c r="E116" s="23" t="inlineStr">
        <is>
          <t>1</t>
        </is>
      </c>
      <c r="F116" s="24" t="inlineStr">
        <is>
          <t>Dia/momento: Primer dia. | Tiempo de origen (planilla Procesos Diarios) sin validar - no usar para calcular horas hasta confirmar con AB/RM</t>
        </is>
      </c>
    </row>
    <row r="117" outlineLevel="3" ht="20" customHeight="1">
      <c r="A117" s="21" t="inlineStr">
        <is>
          <t>• Revisar planilla de Procesos (ultima hora)</t>
        </is>
      </c>
      <c r="B117" s="22" t="inlineStr">
        <is>
          <t>Tarea</t>
        </is>
      </c>
      <c r="C117" s="23" t="inlineStr">
        <is>
          <t>RM</t>
        </is>
      </c>
      <c r="D117" s="23" t="inlineStr">
        <is>
          <t>Diario</t>
        </is>
      </c>
      <c r="E117" s="23" t="inlineStr">
        <is>
          <t>1</t>
        </is>
      </c>
      <c r="F117" s="24" t="inlineStr">
        <is>
          <t>Dia/momento: Primer dia. | Tiempo de origen (planilla Procesos Diarios) sin validar - no usar para calcular horas hasta confirmar con AB/RM</t>
        </is>
      </c>
    </row>
    <row r="118" outlineLevel="2" ht="30" customHeight="1">
      <c r="A118" s="17" t="inlineStr">
        <is>
          <t>→ Coordinacion de Guardia</t>
        </is>
      </c>
      <c r="B118" s="18" t="inlineStr">
        <is>
          <t>Proceso</t>
        </is>
      </c>
      <c r="C118" s="19" t="inlineStr"/>
      <c r="D118" s="19" t="inlineStr"/>
      <c r="E118" s="19" t="inlineStr"/>
      <c r="F118" s="20" t="inlineStr"/>
    </row>
    <row r="119" outlineLevel="3" ht="20" customHeight="1">
      <c r="A119" s="25" t="inlineStr">
        <is>
          <t>› Coordinacion de Guardia</t>
        </is>
      </c>
      <c r="B119" s="26" t="inlineStr">
        <is>
          <t>Procedimiento</t>
        </is>
      </c>
      <c r="C119" s="27" t="inlineStr"/>
      <c r="D119" s="27" t="inlineStr"/>
      <c r="E119" s="27" t="inlineStr"/>
      <c r="F119" s="28" t="inlineStr"/>
    </row>
    <row r="120" outlineLevel="4" ht="20" customHeight="1">
      <c r="A120" s="29" t="inlineStr">
        <is>
          <t>• Recepcion de N de Ticket</t>
        </is>
      </c>
      <c r="B120" s="22" t="inlineStr">
        <is>
          <t>Tarea</t>
        </is>
      </c>
      <c r="C120" s="23" t="inlineStr">
        <is>
          <t>RM</t>
        </is>
      </c>
      <c r="D120" s="23" t="inlineStr">
        <is>
          <t>Mensual</t>
        </is>
      </c>
      <c r="E120" s="23" t="inlineStr">
        <is>
          <t>15</t>
        </is>
      </c>
      <c r="F120" s="24" t="inlineStr">
        <is>
          <t>Tiempo de origen (planilla Procesos Diarios) sin validar - no usar para calcular horas hasta confirmar con AB/RM</t>
        </is>
      </c>
    </row>
    <row r="121" outlineLevel="4" ht="20" customHeight="1">
      <c r="A121" s="29" t="inlineStr">
        <is>
          <t>• Compartir N de Ticket en WhatsApp y Telegram</t>
        </is>
      </c>
      <c r="B121" s="22" t="inlineStr">
        <is>
          <t>Tarea</t>
        </is>
      </c>
      <c r="C121" s="23" t="inlineStr">
        <is>
          <t>RM</t>
        </is>
      </c>
      <c r="D121" s="23" t="inlineStr">
        <is>
          <t>Mensual</t>
        </is>
      </c>
      <c r="E121" s="23" t="inlineStr">
        <is>
          <t>5</t>
        </is>
      </c>
      <c r="F121" s="24" t="inlineStr">
        <is>
          <t>Tiempo de origen (planilla Procesos Diarios) sin validar - no usar para calcular horas hasta confirmar con AB/RM</t>
        </is>
      </c>
    </row>
    <row r="122" outlineLevel="4" ht="20" customHeight="1">
      <c r="A122" s="29" t="inlineStr">
        <is>
          <t>• Coordinacion de guardia CM</t>
        </is>
      </c>
      <c r="B122" s="22" t="inlineStr">
        <is>
          <t>Tarea</t>
        </is>
      </c>
      <c r="C122" s="23" t="inlineStr">
        <is>
          <t>RM</t>
        </is>
      </c>
      <c r="D122" s="23" t="inlineStr">
        <is>
          <t>Semanal</t>
        </is>
      </c>
      <c r="E122" s="23" t="inlineStr">
        <is>
          <t>15</t>
        </is>
      </c>
      <c r="F122" s="24" t="inlineStr">
        <is>
          <t>Dia/momento: Miercoles. | Tiempo de origen (planilla Procesos Diarios) sin validar - no usar para calcular horas hasta confirmar con AB/RM</t>
        </is>
      </c>
    </row>
    <row r="123" outlineLevel="4" ht="20" customHeight="1">
      <c r="A123" s="29" t="inlineStr">
        <is>
          <t>• Agregar tecnico a guardia CM</t>
        </is>
      </c>
      <c r="B123" s="22" t="inlineStr">
        <is>
          <t>Tarea</t>
        </is>
      </c>
      <c r="C123" s="23" t="inlineStr">
        <is>
          <t>RM</t>
        </is>
      </c>
      <c r="D123" s="23" t="inlineStr">
        <is>
          <t>Semanal</t>
        </is>
      </c>
      <c r="E123" s="23" t="inlineStr">
        <is>
          <t>A confirmar</t>
        </is>
      </c>
      <c r="F123" s="24" t="inlineStr">
        <is>
          <t>Dia/momento: Viernes. Tiempo ilegible en el PDF - confirmar</t>
        </is>
      </c>
    </row>
    <row r="124" outlineLevel="4" ht="20" customHeight="1">
      <c r="A124" s="29" t="inlineStr">
        <is>
          <t>• Sacar tecnico de guardia CM</t>
        </is>
      </c>
      <c r="B124" s="22" t="inlineStr">
        <is>
          <t>Tarea</t>
        </is>
      </c>
      <c r="C124" s="23" t="inlineStr">
        <is>
          <t>RM</t>
        </is>
      </c>
      <c r="D124" s="23" t="inlineStr">
        <is>
          <t>Semanal</t>
        </is>
      </c>
      <c r="E124" s="23" t="inlineStr">
        <is>
          <t>A confirmar</t>
        </is>
      </c>
      <c r="F124" s="24" t="inlineStr">
        <is>
          <t>Dia/momento: Viernes. Tiempo ilegible en el PDF - confirmar</t>
        </is>
      </c>
    </row>
    <row r="125" outlineLevel="2" ht="30" customHeight="1">
      <c r="A125" s="17" t="inlineStr">
        <is>
          <t>→ Martes - ODS (Ordenes de Servicio)</t>
        </is>
      </c>
      <c r="B125" s="18" t="inlineStr">
        <is>
          <t>Proceso</t>
        </is>
      </c>
      <c r="C125" s="19" t="inlineStr"/>
      <c r="D125" s="19" t="inlineStr"/>
      <c r="E125" s="19" t="inlineStr"/>
      <c r="F125" s="20" t="inlineStr"/>
    </row>
    <row r="126" outlineLevel="3" ht="20" customHeight="1">
      <c r="A126" s="25" t="inlineStr">
        <is>
          <t>› OS</t>
        </is>
      </c>
      <c r="B126" s="26" t="inlineStr">
        <is>
          <t>Procedimiento</t>
        </is>
      </c>
      <c r="C126" s="27" t="inlineStr"/>
      <c r="D126" s="27" t="inlineStr"/>
      <c r="E126" s="27" t="inlineStr"/>
      <c r="F126" s="28" t="inlineStr"/>
    </row>
    <row r="127" outlineLevel="4" ht="20" customHeight="1">
      <c r="A127" s="29" t="inlineStr">
        <is>
          <t>• Control e impresion de O.D.S.</t>
        </is>
      </c>
      <c r="B127" s="22" t="inlineStr">
        <is>
          <t>Tarea</t>
        </is>
      </c>
      <c r="C127" s="23" t="inlineStr">
        <is>
          <t>RM</t>
        </is>
      </c>
      <c r="D127" s="23" t="inlineStr">
        <is>
          <t>Mensual</t>
        </is>
      </c>
      <c r="E127" s="23" t="inlineStr">
        <is>
          <t>45</t>
        </is>
      </c>
      <c r="F127" s="24" t="inlineStr">
        <is>
          <t>Dia/momento: Primer jueves. | Tiempo de origen (planilla Procesos Diarios) sin validar - no usar para calcular horas hasta confirmar con AB/RM</t>
        </is>
      </c>
    </row>
    <row r="128" outlineLevel="4" ht="20" customHeight="1">
      <c r="A128" s="29" t="inlineStr">
        <is>
          <t>• Control e impresion de etiquetas de baterias</t>
        </is>
      </c>
      <c r="B128" s="22" t="inlineStr">
        <is>
          <t>Tarea</t>
        </is>
      </c>
      <c r="C128" s="23" t="inlineStr">
        <is>
          <t>RM</t>
        </is>
      </c>
      <c r="D128" s="23" t="inlineStr">
        <is>
          <t>Mensual</t>
        </is>
      </c>
      <c r="E128" s="23" t="inlineStr">
        <is>
          <t>45</t>
        </is>
      </c>
      <c r="F128" s="24" t="inlineStr">
        <is>
          <t>Dia/momento: Tercer jueves. | Tiempo de origen (planilla Procesos Diarios) sin validar - no usar para calcular horas hasta confirmar con AB/RM</t>
        </is>
      </c>
    </row>
    <row r="129" outlineLevel="4" ht="20" customHeight="1">
      <c r="A129" s="29" t="inlineStr">
        <is>
          <t>• Carga de N de ODS a Telegram</t>
        </is>
      </c>
      <c r="B129" s="22" t="inlineStr">
        <is>
          <t>Tarea</t>
        </is>
      </c>
      <c r="C129" s="23" t="inlineStr">
        <is>
          <t>RM</t>
        </is>
      </c>
      <c r="D129" s="23" t="inlineStr">
        <is>
          <t>Semanal</t>
        </is>
      </c>
      <c r="E129" s="23" t="inlineStr">
        <is>
          <t>15</t>
        </is>
      </c>
      <c r="F129" s="24" t="inlineStr">
        <is>
          <t>Dia/momento: Lunes. | Tiempo de origen (planilla Procesos Diarios) sin validar - no usar para calcular horas hasta confirmar con AB/RM</t>
        </is>
      </c>
    </row>
    <row r="130" outlineLevel="4" ht="20" customHeight="1">
      <c r="A130" s="29" t="inlineStr">
        <is>
          <t>• Carga de ODS a CM</t>
        </is>
      </c>
      <c r="B130" s="22" t="inlineStr">
        <is>
          <t>Tarea</t>
        </is>
      </c>
      <c r="C130" s="23" t="inlineStr">
        <is>
          <t>RM</t>
        </is>
      </c>
      <c r="D130" s="23" t="inlineStr">
        <is>
          <t>Semanal</t>
        </is>
      </c>
      <c r="E130" s="23" t="inlineStr">
        <is>
          <t>360</t>
        </is>
      </c>
      <c r="F130" s="24" t="inlineStr">
        <is>
          <t>Dia/momento: Lunes y Martes. | Tiempo de origen (planilla Procesos Diarios) sin validar - no usar para calcular horas hasta confirmar con AB/RM</t>
        </is>
      </c>
    </row>
    <row r="131" outlineLevel="4" ht="20" customHeight="1">
      <c r="A131" s="29" t="inlineStr">
        <is>
          <t>• Entrega de ODS a Administracion</t>
        </is>
      </c>
      <c r="B131" s="22" t="inlineStr">
        <is>
          <t>Tarea</t>
        </is>
      </c>
      <c r="C131" s="23" t="inlineStr">
        <is>
          <t>RM</t>
        </is>
      </c>
      <c r="D131" s="23" t="inlineStr">
        <is>
          <t>Semanal</t>
        </is>
      </c>
      <c r="E131" s="23" t="inlineStr">
        <is>
          <t>10</t>
        </is>
      </c>
      <c r="F131" s="24" t="inlineStr">
        <is>
          <t>Dia/momento: Lunes. | Tiempo de origen (planilla Procesos Diarios) sin validar - no usar para calcular horas hasta confirmar con AB/RM</t>
        </is>
      </c>
    </row>
    <row r="132" outlineLevel="4" ht="20" customHeight="1">
      <c r="A132" s="29" t="inlineStr">
        <is>
          <t>• Control de ODS cargadas y descuentos</t>
        </is>
      </c>
      <c r="B132" s="22" t="inlineStr">
        <is>
          <t>Tarea</t>
        </is>
      </c>
      <c r="C132" s="23" t="inlineStr">
        <is>
          <t>RM</t>
        </is>
      </c>
      <c r="D132" s="23" t="inlineStr">
        <is>
          <t>Semanal</t>
        </is>
      </c>
      <c r="E132" s="23" t="inlineStr">
        <is>
          <t>30</t>
        </is>
      </c>
      <c r="F132" s="24" t="inlineStr">
        <is>
          <t>Dia/momento: Lunes y Martes. | Tiempo de origen (planilla Procesos Diarios) sin validar - no usar para calcular horas hasta confirmar con AB/RM</t>
        </is>
      </c>
    </row>
    <row r="133" outlineLevel="2" ht="30" customHeight="1">
      <c r="A133" s="17" t="inlineStr">
        <is>
          <t>→ Jueves - Configuracion AXPRO (RM)</t>
        </is>
      </c>
      <c r="B133" s="18" t="inlineStr">
        <is>
          <t>Proceso</t>
        </is>
      </c>
      <c r="C133" s="19" t="inlineStr"/>
      <c r="D133" s="19" t="inlineStr"/>
      <c r="E133" s="19" t="inlineStr"/>
      <c r="F133" s="20" t="inlineStr"/>
    </row>
    <row r="134" outlineLevel="3" ht="20" customHeight="1">
      <c r="A134" s="21" t="inlineStr">
        <is>
          <t>• Cargar factura Personal Jasper</t>
        </is>
      </c>
      <c r="B134" s="22" t="inlineStr">
        <is>
          <t>Tarea</t>
        </is>
      </c>
      <c r="C134" s="23" t="inlineStr">
        <is>
          <t>RM</t>
        </is>
      </c>
      <c r="D134" s="23" t="inlineStr">
        <is>
          <t>Mensual</t>
        </is>
      </c>
      <c r="E134" s="23" t="inlineStr">
        <is>
          <t>15</t>
        </is>
      </c>
      <c r="F134" s="24" t="inlineStr">
        <is>
          <t>Dia/momento: Dia 13.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35" outlineLevel="3" ht="20" customHeight="1">
      <c r="A135" s="21" t="inlineStr">
        <is>
          <t>• Cargar factura Movistar Smart</t>
        </is>
      </c>
      <c r="B135" s="22" t="inlineStr">
        <is>
          <t>Tarea</t>
        </is>
      </c>
      <c r="C135" s="23" t="inlineStr">
        <is>
          <t>RM</t>
        </is>
      </c>
      <c r="D135" s="23" t="inlineStr">
        <is>
          <t>Mensual</t>
        </is>
      </c>
      <c r="E135" s="23" t="inlineStr">
        <is>
          <t>15</t>
        </is>
      </c>
      <c r="F135" s="24" t="inlineStr">
        <is>
          <t>Dia/momento: Dia 13.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36" outlineLevel="3" ht="20" customHeight="1">
      <c r="A136" s="21" t="inlineStr">
        <is>
          <t>• Cargar factura Claro Empleados</t>
        </is>
      </c>
      <c r="B136" s="22" t="inlineStr">
        <is>
          <t>Tarea</t>
        </is>
      </c>
      <c r="C136" s="23" t="inlineStr">
        <is>
          <t>RM</t>
        </is>
      </c>
      <c r="D136" s="23" t="inlineStr">
        <is>
          <t>Mensual</t>
        </is>
      </c>
      <c r="E136" s="23" t="inlineStr">
        <is>
          <t>15</t>
        </is>
      </c>
      <c r="F136" s="24" t="inlineStr">
        <is>
          <t>Dia/momento: Dia 13.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37" outlineLevel="3" ht="20" customHeight="1">
      <c r="A137" s="21" t="inlineStr">
        <is>
          <t>• Cargar factura Claro M2M</t>
        </is>
      </c>
      <c r="B137" s="22" t="inlineStr">
        <is>
          <t>Tarea</t>
        </is>
      </c>
      <c r="C137" s="23" t="inlineStr">
        <is>
          <t>RM</t>
        </is>
      </c>
      <c r="D137" s="23" t="inlineStr">
        <is>
          <t>Mensual</t>
        </is>
      </c>
      <c r="E137" s="23" t="inlineStr">
        <is>
          <t>15</t>
        </is>
      </c>
      <c r="F137" s="24" t="inlineStr">
        <is>
          <t>Dia/momento: Dia 13.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38" outlineLevel="3" ht="20" customHeight="1">
      <c r="A138" s="21" t="inlineStr">
        <is>
          <t>• Cargar factura Personal M2M</t>
        </is>
      </c>
      <c r="B138" s="22" t="inlineStr">
        <is>
          <t>Tarea</t>
        </is>
      </c>
      <c r="C138" s="23" t="inlineStr">
        <is>
          <t>RM</t>
        </is>
      </c>
      <c r="D138" s="23" t="inlineStr">
        <is>
          <t>Mensual</t>
        </is>
      </c>
      <c r="E138" s="23" t="inlineStr">
        <is>
          <t>15</t>
        </is>
      </c>
      <c r="F138" s="24" t="inlineStr">
        <is>
          <t>Dia/momento: Dia 17.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39" outlineLevel="3" ht="20" customHeight="1">
      <c r="A139" s="21" t="inlineStr">
        <is>
          <t>• Cargar factura Claro Jasper</t>
        </is>
      </c>
      <c r="B139" s="22" t="inlineStr">
        <is>
          <t>Tarea</t>
        </is>
      </c>
      <c r="C139" s="23" t="inlineStr">
        <is>
          <t>RM</t>
        </is>
      </c>
      <c r="D139" s="23" t="inlineStr">
        <is>
          <t>Mensual</t>
        </is>
      </c>
      <c r="E139" s="23" t="inlineStr">
        <is>
          <t>15</t>
        </is>
      </c>
      <c r="F139" s="24" t="inlineStr">
        <is>
          <t>Dia/momento: Dia 17.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40" outlineLevel="3" ht="20" customHeight="1">
      <c r="A140" s="21" t="inlineStr">
        <is>
          <t>• Analisis de factura de chips</t>
        </is>
      </c>
      <c r="B140" s="22" t="inlineStr">
        <is>
          <t>Tarea</t>
        </is>
      </c>
      <c r="C140" s="23" t="inlineStr">
        <is>
          <t>RM</t>
        </is>
      </c>
      <c r="D140" s="23" t="inlineStr">
        <is>
          <t>Mensual</t>
        </is>
      </c>
      <c r="E140" s="23" t="inlineStr">
        <is>
          <t>45</t>
        </is>
      </c>
      <c r="F140" s="24" t="inlineStr">
        <is>
          <t>Dia/momento: Dia 17.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41" outlineLevel="3" ht="20" customHeight="1">
      <c r="A141" s="21" t="inlineStr">
        <is>
          <t>• Publicar resumen de gastos de chips</t>
        </is>
      </c>
      <c r="B141" s="22" t="inlineStr">
        <is>
          <t>Tarea</t>
        </is>
      </c>
      <c r="C141" s="23" t="inlineStr">
        <is>
          <t>RM</t>
        </is>
      </c>
      <c r="D141" s="23" t="inlineStr">
        <is>
          <t>Mensual</t>
        </is>
      </c>
      <c r="E141" s="23" t="inlineStr">
        <is>
          <t>15</t>
        </is>
      </c>
      <c r="F141" s="24" t="inlineStr">
        <is>
          <t>Dia/momento: Dia 17.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42" outlineLevel="3" ht="20" customHeight="1">
      <c r="A142" s="21" t="inlineStr">
        <is>
          <t>• Control de chips</t>
        </is>
      </c>
      <c r="B142" s="22" t="inlineStr">
        <is>
          <t>Tarea</t>
        </is>
      </c>
      <c r="C142" s="23" t="inlineStr">
        <is>
          <t>RM</t>
        </is>
      </c>
      <c r="D142" s="23" t="inlineStr">
        <is>
          <t>Semanal</t>
        </is>
      </c>
      <c r="E142" s="23" t="inlineStr">
        <is>
          <t>45</t>
        </is>
      </c>
      <c r="F142" s="24" t="inlineStr">
        <is>
          <t>Dia/momento: Jueves.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43" outlineLevel="3" ht="20" customHeight="1">
      <c r="A143" s="21" t="inlineStr">
        <is>
          <t>• Solicitar baja de chips</t>
        </is>
      </c>
      <c r="B143" s="22" t="inlineStr">
        <is>
          <t>Tarea</t>
        </is>
      </c>
      <c r="C143" s="23" t="inlineStr">
        <is>
          <t>RM</t>
        </is>
      </c>
      <c r="D143" s="23" t="inlineStr">
        <is>
          <t>Semanal</t>
        </is>
      </c>
      <c r="E143" s="23" t="inlineStr">
        <is>
          <t>15</t>
        </is>
      </c>
      <c r="F143" s="24" t="inlineStr">
        <is>
          <t>Dia/momento: Viernes.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44" outlineLevel="3" ht="20" customHeight="1">
      <c r="A144" s="21" t="inlineStr">
        <is>
          <t>• Recupero de chips</t>
        </is>
      </c>
      <c r="B144" s="22" t="inlineStr">
        <is>
          <t>Tarea</t>
        </is>
      </c>
      <c r="C144" s="23" t="inlineStr">
        <is>
          <t>RM</t>
        </is>
      </c>
      <c r="D144" s="23" t="inlineStr">
        <is>
          <t>Semanal</t>
        </is>
      </c>
      <c r="E144" s="23" t="inlineStr">
        <is>
          <t>15</t>
        </is>
      </c>
      <c r="F144" s="24" t="inlineStr">
        <is>
          <t>Dia/momento: Jueves.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45" outlineLevel="3" ht="20" customHeight="1">
      <c r="A145" s="21" t="inlineStr">
        <is>
          <t>• Activar chips (altas de lineas moviles)</t>
        </is>
      </c>
      <c r="B145" s="22" t="inlineStr">
        <is>
          <t>Tarea</t>
        </is>
      </c>
      <c r="C145" s="23" t="inlineStr">
        <is>
          <t>RM</t>
        </is>
      </c>
      <c r="D145" s="23" t="inlineStr">
        <is>
          <t>Semanal</t>
        </is>
      </c>
      <c r="E145" s="23" t="inlineStr">
        <is>
          <t>15</t>
        </is>
      </c>
      <c r="F145" s="24" t="inlineStr">
        <is>
          <t>Dia/momento: Jueves.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146" outlineLevel="2" ht="30" customHeight="1">
      <c r="A146" s="17" t="inlineStr">
        <is>
          <t>→ Miercoles - Remoto de Equipos (REE)</t>
        </is>
      </c>
      <c r="B146" s="18" t="inlineStr">
        <is>
          <t>Proceso</t>
        </is>
      </c>
      <c r="C146" s="19" t="inlineStr"/>
      <c r="D146" s="19" t="inlineStr"/>
      <c r="E146" s="19" t="inlineStr"/>
      <c r="F146" s="20" t="inlineStr"/>
    </row>
    <row r="147" outlineLevel="3" ht="20" customHeight="1">
      <c r="A147" s="25" t="inlineStr">
        <is>
          <t>› REE</t>
        </is>
      </c>
      <c r="B147" s="26" t="inlineStr">
        <is>
          <t>Procedimiento</t>
        </is>
      </c>
      <c r="C147" s="27" t="inlineStr"/>
      <c r="D147" s="27" t="inlineStr"/>
      <c r="E147" s="27" t="inlineStr"/>
      <c r="F147" s="28" t="inlineStr"/>
    </row>
    <row r="148" outlineLevel="4" ht="20" customHeight="1">
      <c r="A148" s="29" t="inlineStr">
        <is>
          <t>• Carga de REE en Manager2GO</t>
        </is>
      </c>
      <c r="B148" s="22" t="inlineStr">
        <is>
          <t>Tarea</t>
        </is>
      </c>
      <c r="C148" s="23" t="inlineStr">
        <is>
          <t>RM</t>
        </is>
      </c>
      <c r="D148" s="23" t="inlineStr">
        <is>
          <t>Semanal</t>
        </is>
      </c>
      <c r="E148" s="23" t="inlineStr">
        <is>
          <t>360</t>
        </is>
      </c>
      <c r="F148" s="24" t="inlineStr">
        <is>
          <t>Dia/momento: Miercoles. | Tiempo de origen (planilla Procesos Diarios) sin validar - no usar para calcular horas hasta confirmar con AB/RM</t>
        </is>
      </c>
    </row>
    <row r="149" outlineLevel="4" ht="20" customHeight="1">
      <c r="A149" s="29" t="inlineStr">
        <is>
          <t>• Carga de chips en REE</t>
        </is>
      </c>
      <c r="B149" s="22" t="inlineStr">
        <is>
          <t>Tarea</t>
        </is>
      </c>
      <c r="C149" s="23" t="inlineStr">
        <is>
          <t>RM</t>
        </is>
      </c>
      <c r="D149" s="23" t="inlineStr">
        <is>
          <t>Semanal</t>
        </is>
      </c>
      <c r="E149" s="23" t="inlineStr">
        <is>
          <t>A confirmar</t>
        </is>
      </c>
      <c r="F149" s="24" t="inlineStr">
        <is>
          <t>Dia/momento: Miercoles. Tiempo no relevado en el PDF - confirmar</t>
        </is>
      </c>
    </row>
    <row r="150" outlineLevel="4" ht="20" customHeight="1">
      <c r="A150" s="29" t="inlineStr">
        <is>
          <t>• Carga de baterias en REE</t>
        </is>
      </c>
      <c r="B150" s="22" t="inlineStr">
        <is>
          <t>Tarea</t>
        </is>
      </c>
      <c r="C150" s="23" t="inlineStr">
        <is>
          <t>RM</t>
        </is>
      </c>
      <c r="D150" s="23" t="inlineStr">
        <is>
          <t>Semanal</t>
        </is>
      </c>
      <c r="E150" s="23" t="inlineStr">
        <is>
          <t>A confirmar</t>
        </is>
      </c>
      <c r="F150" s="24" t="inlineStr">
        <is>
          <t>Dia/momento: Miercoles. Tiempo no relevado en el PDF - confirmar</t>
        </is>
      </c>
    </row>
    <row r="151" outlineLevel="4" ht="20" customHeight="1">
      <c r="A151" s="29" t="inlineStr">
        <is>
          <t>• Pasar REE a carpeta 3</t>
        </is>
      </c>
      <c r="B151" s="22" t="inlineStr">
        <is>
          <t>Tarea</t>
        </is>
      </c>
      <c r="C151" s="23" t="inlineStr">
        <is>
          <t>RM</t>
        </is>
      </c>
      <c r="D151" s="23" t="inlineStr">
        <is>
          <t>Semanal</t>
        </is>
      </c>
      <c r="E151" s="23" t="inlineStr">
        <is>
          <t>360</t>
        </is>
      </c>
      <c r="F151" s="24" t="inlineStr">
        <is>
          <t>Dia/momento: Miercoles. | Tiempo de origen (planilla Procesos Diarios) sin validar - no usar para calcular horas hasta confirmar con AB/RM</t>
        </is>
      </c>
    </row>
    <row r="152" outlineLevel="4" ht="20" customHeight="1">
      <c r="A152" s="29" t="inlineStr">
        <is>
          <t>• Entrega de REE a Administracion</t>
        </is>
      </c>
      <c r="B152" s="22" t="inlineStr">
        <is>
          <t>Tarea</t>
        </is>
      </c>
      <c r="C152" s="23" t="inlineStr">
        <is>
          <t>RM</t>
        </is>
      </c>
      <c r="D152" s="23" t="inlineStr">
        <is>
          <t>Semanal</t>
        </is>
      </c>
      <c r="E152" s="23" t="inlineStr">
        <is>
          <t>25</t>
        </is>
      </c>
      <c r="F152" s="24" t="inlineStr">
        <is>
          <t>Dia/momento: Jueves. | Tiempo de origen (planilla Procesos Diarios) sin validar - no usar para calcular horas hasta confirmar con AB/RM</t>
        </is>
      </c>
    </row>
    <row r="153" outlineLevel="4" ht="20" customHeight="1">
      <c r="A153" s="29" t="inlineStr">
        <is>
          <t>• Adjuntar facturas a remito Manager2</t>
        </is>
      </c>
      <c r="B153" s="22" t="inlineStr">
        <is>
          <t>Tarea</t>
        </is>
      </c>
      <c r="C153" s="23" t="inlineStr">
        <is>
          <t>RM</t>
        </is>
      </c>
      <c r="D153" s="23" t="inlineStr">
        <is>
          <t>Semanal</t>
        </is>
      </c>
      <c r="E153" s="23" t="inlineStr">
        <is>
          <t>30</t>
        </is>
      </c>
      <c r="F153" s="24" t="inlineStr">
        <is>
          <t>Dia/momento: Jueves. | Tiempo de origen (planilla Procesos Diarios) sin validar - no usar para calcular horas hasta confirmar con AB/RM</t>
        </is>
      </c>
    </row>
    <row r="154" outlineLevel="2" ht="30" customHeight="1">
      <c r="A154" s="17" t="inlineStr">
        <is>
          <t>→ Gestion de Flota (RM)</t>
        </is>
      </c>
      <c r="B154" s="18" t="inlineStr">
        <is>
          <t>Proceso</t>
        </is>
      </c>
      <c r="C154" s="19" t="inlineStr"/>
      <c r="D154" s="19" t="inlineStr"/>
      <c r="E154" s="19" t="inlineStr"/>
      <c r="F154" s="20" t="inlineStr"/>
    </row>
    <row r="155" outlineLevel="3" ht="20" customHeight="1">
      <c r="A155" s="21" t="inlineStr">
        <is>
          <t>• Control ITV vehiculo AF061RG</t>
        </is>
      </c>
      <c r="B155" s="22" t="inlineStr">
        <is>
          <t>Tarea</t>
        </is>
      </c>
      <c r="C155" s="23" t="inlineStr">
        <is>
          <t>RM</t>
        </is>
      </c>
      <c r="D155" s="23" t="inlineStr">
        <is>
          <t>Semestral</t>
        </is>
      </c>
      <c r="E155" s="23" t="inlineStr">
        <is>
          <t>5</t>
        </is>
      </c>
      <c r="F155" s="24" t="inlineStr">
        <is>
          <t>Dia/momento: Nov/May. | Tiempo de origen (planilla Procesos Diarios) sin validar - no usar para calcular horas hasta confirmar con AB/RM</t>
        </is>
      </c>
    </row>
    <row r="156" outlineLevel="3" ht="20" customHeight="1">
      <c r="A156" s="21" t="inlineStr">
        <is>
          <t>• Control impuestos vehiculo AF061RG</t>
        </is>
      </c>
      <c r="B156" s="22" t="inlineStr">
        <is>
          <t>Tarea</t>
        </is>
      </c>
      <c r="C156" s="23" t="inlineStr">
        <is>
          <t>RM</t>
        </is>
      </c>
      <c r="D156" s="23" t="inlineStr">
        <is>
          <t>Semestral</t>
        </is>
      </c>
      <c r="E156" s="23" t="inlineStr">
        <is>
          <t>5</t>
        </is>
      </c>
      <c r="F156" s="24" t="inlineStr">
        <is>
          <t>Dia/momento: Nov/May. | Tiempo de origen (planilla Procesos Diarios) sin validar - no usar para calcular horas hasta confirmar con AB/RM</t>
        </is>
      </c>
    </row>
    <row r="157" outlineLevel="3" ht="20" customHeight="1">
      <c r="A157" s="21" t="inlineStr">
        <is>
          <t>• Control ITV vehiculo AC921LR</t>
        </is>
      </c>
      <c r="B157" s="22" t="inlineStr">
        <is>
          <t>Tarea</t>
        </is>
      </c>
      <c r="C157" s="23" t="inlineStr">
        <is>
          <t>RM</t>
        </is>
      </c>
      <c r="D157" s="23" t="inlineStr">
        <is>
          <t>Semestral</t>
        </is>
      </c>
      <c r="E157" s="23" t="inlineStr">
        <is>
          <t>5</t>
        </is>
      </c>
      <c r="F157" s="24" t="inlineStr">
        <is>
          <t>Dia/momento: Nov/May. | Tiempo de origen (planilla Procesos Diarios) sin validar - no usar para calcular horas hasta confirmar con AB/RM</t>
        </is>
      </c>
    </row>
    <row r="158" outlineLevel="3" ht="20" customHeight="1">
      <c r="A158" s="21" t="inlineStr">
        <is>
          <t>• Control impuestos vehiculo AC921LR</t>
        </is>
      </c>
      <c r="B158" s="22" t="inlineStr">
        <is>
          <t>Tarea</t>
        </is>
      </c>
      <c r="C158" s="23" t="inlineStr">
        <is>
          <t>RM</t>
        </is>
      </c>
      <c r="D158" s="23" t="inlineStr">
        <is>
          <t>Semestral</t>
        </is>
      </c>
      <c r="E158" s="23" t="inlineStr">
        <is>
          <t>5</t>
        </is>
      </c>
      <c r="F158" s="24" t="inlineStr">
        <is>
          <t>Dia/momento: Nov/May. | Tiempo de origen (planilla Procesos Diarios) sin validar - no usar para calcular horas hasta confirmar con AB/RM</t>
        </is>
      </c>
    </row>
    <row r="159" outlineLevel="2" ht="30" customHeight="1">
      <c r="A159" s="17" t="inlineStr">
        <is>
          <t>→ Preparacion y Directivas de ST (RM)</t>
        </is>
      </c>
      <c r="B159" s="18" t="inlineStr">
        <is>
          <t>Proceso</t>
        </is>
      </c>
      <c r="C159" s="19" t="inlineStr"/>
      <c r="D159" s="19" t="inlineStr"/>
      <c r="E159" s="19" t="inlineStr"/>
      <c r="F159" s="20" t="inlineStr"/>
    </row>
    <row r="160" outlineLevel="3" ht="20" customHeight="1">
      <c r="A160" s="21" t="inlineStr">
        <is>
          <t>• Preparacion de equipos (ST)</t>
        </is>
      </c>
      <c r="B160" s="22" t="inlineStr">
        <is>
          <t>Tarea</t>
        </is>
      </c>
      <c r="C160" s="23" t="inlineStr">
        <is>
          <t>RM</t>
        </is>
      </c>
      <c r="D160" s="23" t="inlineStr">
        <is>
          <t>Diario</t>
        </is>
      </c>
      <c r="E160" s="23" t="inlineStr">
        <is>
          <t>A confirmar</t>
        </is>
      </c>
      <c r="F160" s="24" t="inlineStr">
        <is>
          <t>Tiempo no relevado en el PDF - confirmar</t>
        </is>
      </c>
    </row>
    <row r="161" outlineLevel="3" ht="20" customHeight="1">
      <c r="A161" s="21" t="inlineStr">
        <is>
          <t>• Carga de directivas tecnicas</t>
        </is>
      </c>
      <c r="B161" s="22" t="inlineStr">
        <is>
          <t>Tarea</t>
        </is>
      </c>
      <c r="C161" s="23" t="inlineStr">
        <is>
          <t>RM</t>
        </is>
      </c>
      <c r="D161" s="23" t="inlineStr">
        <is>
          <t>Semanal</t>
        </is>
      </c>
      <c r="E161" s="23" t="inlineStr">
        <is>
          <t>A confirmar</t>
        </is>
      </c>
      <c r="F161" s="24" t="inlineStr">
        <is>
          <t>Dia/momento: Lunes. Tiempo no relevado en el PDF - confirmar</t>
        </is>
      </c>
    </row>
    <row r="162" outlineLevel="3" ht="20" customHeight="1">
      <c r="A162" s="21" t="inlineStr">
        <is>
          <t>• Entrega de directiva a Administracion</t>
        </is>
      </c>
      <c r="B162" s="22" t="inlineStr">
        <is>
          <t>Tarea</t>
        </is>
      </c>
      <c r="C162" s="23" t="inlineStr">
        <is>
          <t>RM</t>
        </is>
      </c>
      <c r="D162" s="23" t="inlineStr">
        <is>
          <t>Semanal</t>
        </is>
      </c>
      <c r="E162" s="23" t="inlineStr">
        <is>
          <t>15</t>
        </is>
      </c>
      <c r="F162" s="24" t="inlineStr">
        <is>
          <t>Dia/momento: Miercoles. | Tiempo de origen (planilla Procesos Diarios) sin validar - no usar para calcular horas hasta confirmar con AB/RM</t>
        </is>
      </c>
    </row>
    <row r="163" outlineLevel="3" ht="20" customHeight="1">
      <c r="A163" s="21" t="inlineStr">
        <is>
          <t>• Control de buen estado receptoras IPR512 (R-11)</t>
        </is>
      </c>
      <c r="B163" s="22" t="inlineStr">
        <is>
          <t>Tarea</t>
        </is>
      </c>
      <c r="C163" s="23" t="inlineStr">
        <is>
          <t>RM</t>
        </is>
      </c>
      <c r="D163" s="23" t="inlineStr">
        <is>
          <t>Diario</t>
        </is>
      </c>
      <c r="E163" s="23" t="inlineStr">
        <is>
          <t>A confirmar</t>
        </is>
      </c>
      <c r="F163" s="24" t="inlineStr">
        <is>
          <t>Tiempo no relevado en el PDF - confirmar</t>
        </is>
      </c>
    </row>
    <row r="164" outlineLevel="3" ht="20" customHeight="1">
      <c r="A164" s="21" t="inlineStr">
        <is>
          <t>• Mandar mensajes a AVATEC 02</t>
        </is>
      </c>
      <c r="B164" s="22" t="inlineStr">
        <is>
          <t>Tarea</t>
        </is>
      </c>
      <c r="C164" s="23" t="inlineStr">
        <is>
          <t>RM</t>
        </is>
      </c>
      <c r="D164" s="23" t="inlineStr">
        <is>
          <t>Diario</t>
        </is>
      </c>
      <c r="E164" s="23" t="inlineStr">
        <is>
          <t>A confirmar</t>
        </is>
      </c>
      <c r="F164" s="24" t="inlineStr">
        <is>
          <t>Tiempo no relevado en el PDF - confirmar</t>
        </is>
      </c>
    </row>
    <row r="165" outlineLevel="1" ht="30" customHeight="1">
      <c r="A165" s="13" t="inlineStr">
        <is>
          <t>▸ Procesos Transversales (compartidos por todo el equipo)</t>
        </is>
      </c>
      <c r="B165" s="14" t="inlineStr">
        <is>
          <t>Rama</t>
        </is>
      </c>
      <c r="C165" s="15" t="inlineStr"/>
      <c r="D165" s="15" t="inlineStr"/>
      <c r="E165" s="15" t="inlineStr"/>
      <c r="F165" s="16" t="inlineStr"/>
    </row>
    <row r="166" outlineLevel="2" ht="30" customHeight="1">
      <c r="A166" s="17" t="inlineStr">
        <is>
          <t>→ Tareas Reactivas (Interrupciones)</t>
        </is>
      </c>
      <c r="B166" s="18" t="inlineStr">
        <is>
          <t>Proceso</t>
        </is>
      </c>
      <c r="C166" s="19" t="inlineStr"/>
      <c r="D166" s="19" t="inlineStr"/>
      <c r="E166" s="19" t="inlineStr"/>
      <c r="F166" s="20" t="inlineStr"/>
    </row>
    <row r="167" outlineLevel="3" ht="20" customHeight="1">
      <c r="A167" s="21" t="inlineStr">
        <is>
          <t>• Coordinar instalaciones NCS</t>
        </is>
      </c>
      <c r="B167" s="22" t="inlineStr">
        <is>
          <t>Tarea</t>
        </is>
      </c>
      <c r="C167" s="23" t="inlineStr">
        <is>
          <t>AB</t>
        </is>
      </c>
      <c r="D167" s="23" t="inlineStr">
        <is>
          <t>Semanal</t>
        </is>
      </c>
      <c r="E167" s="23" t="inlineStr">
        <is>
          <t>5</t>
        </is>
      </c>
      <c r="F167" s="24" t="inlineStr">
        <is>
          <t>Dia/momento: Interrupcion. | Tiempo de origen (planilla Procesos Diarios) sin validar - no usar para calcular horas hasta confirmar con AB/RM</t>
        </is>
      </c>
    </row>
    <row r="168" outlineLevel="3" ht="20" customHeight="1">
      <c r="A168" s="21" t="inlineStr">
        <is>
          <t>• Responder informes de Monitoreo</t>
        </is>
      </c>
      <c r="B168" s="22" t="inlineStr">
        <is>
          <t>Tarea</t>
        </is>
      </c>
      <c r="C168" s="23" t="inlineStr">
        <is>
          <t>RM</t>
        </is>
      </c>
      <c r="D168" s="23" t="inlineStr">
        <is>
          <t>IntraDiario</t>
        </is>
      </c>
      <c r="E168" s="23" t="inlineStr">
        <is>
          <t>60</t>
        </is>
      </c>
      <c r="F168" s="24" t="inlineStr">
        <is>
          <t>Dia/momento: Interrupcion. | Tiempo de origen (planilla Procesos Diarios) sin validar - no usar para calcular horas hasta confirmar con AB/RM</t>
        </is>
      </c>
    </row>
    <row r="169" outlineLevel="3" ht="20" customHeight="1">
      <c r="A169" s="21" t="inlineStr">
        <is>
          <t>• Responder informes de Pvillarreal (CM)</t>
        </is>
      </c>
      <c r="B169" s="22" t="inlineStr">
        <is>
          <t>Tarea</t>
        </is>
      </c>
      <c r="C169" s="23" t="inlineStr">
        <is>
          <t>RM</t>
        </is>
      </c>
      <c r="D169" s="23" t="inlineStr">
        <is>
          <t>IntraDiario</t>
        </is>
      </c>
      <c r="E169" s="23" t="inlineStr">
        <is>
          <t>A confirmar</t>
        </is>
      </c>
      <c r="F169" s="24" t="inlineStr">
        <is>
          <t>Dia/momento: Interrupcion. Tiempo no relevado en el PDF - confirmar</t>
        </is>
      </c>
    </row>
    <row r="170" outlineLevel="3" ht="20" customHeight="1">
      <c r="A170" s="21" t="inlineStr">
        <is>
          <t>• Guardar y etiquetar stock que ingresa fuera de horario</t>
        </is>
      </c>
      <c r="B170" s="22" t="inlineStr">
        <is>
          <t>Tarea</t>
        </is>
      </c>
      <c r="C170" s="23" t="inlineStr">
        <is>
          <t>RM</t>
        </is>
      </c>
      <c r="D170" s="23" t="inlineStr">
        <is>
          <t>Quincenal</t>
        </is>
      </c>
      <c r="E170" s="23" t="inlineStr">
        <is>
          <t>120</t>
        </is>
      </c>
      <c r="F170" s="24" t="inlineStr">
        <is>
          <t>Dia/momento: Interrupcion. | Tiempo de origen (planilla Procesos Diarios) sin validar - no usar para calcular horas hasta confirmar con AB/RM</t>
        </is>
      </c>
    </row>
    <row r="171" outlineLevel="3" ht="20" customHeight="1">
      <c r="A171" s="21" t="inlineStr">
        <is>
          <t>• Recibir devolucion de instalacion (LM)</t>
        </is>
      </c>
      <c r="B171" s="22" t="inlineStr">
        <is>
          <t>Tarea</t>
        </is>
      </c>
      <c r="C171" s="23" t="inlineStr">
        <is>
          <t>AB / RM</t>
        </is>
      </c>
      <c r="D171" s="23" t="inlineStr">
        <is>
          <t>Semanal</t>
        </is>
      </c>
      <c r="E171" s="23" t="inlineStr">
        <is>
          <t>20</t>
        </is>
      </c>
      <c r="F171" s="24" t="inlineStr">
        <is>
          <t>Dia/momento: Lunes. Responsable en el catalogo figura como LOG (sin persona especifica asignada) | Tiempo de origen (planilla Procesos Diarios) sin validar - no usar para calcular horas hasta confirmar con AB/RM</t>
        </is>
      </c>
    </row>
    <row r="172" outlineLevel="3" ht="20" customHeight="1">
      <c r="A172" s="21" t="inlineStr">
        <is>
          <t>• Recibir devolucion de instalacion (AA)</t>
        </is>
      </c>
      <c r="B172" s="22" t="inlineStr">
        <is>
          <t>Tarea</t>
        </is>
      </c>
      <c r="C172" s="23" t="inlineStr">
        <is>
          <t>AB / RM</t>
        </is>
      </c>
      <c r="D172" s="23" t="inlineStr">
        <is>
          <t>Semanal</t>
        </is>
      </c>
      <c r="E172" s="23" t="inlineStr">
        <is>
          <t>20</t>
        </is>
      </c>
      <c r="F172" s="24" t="inlineStr">
        <is>
          <t>Dia/momento: Lunes. Responsable en el catalogo figura como LOG (sin persona especifica asignada) | Tiempo de origen (planilla Procesos Diarios) sin validar - no usar para calcular horas hasta confirmar con AB/RM</t>
        </is>
      </c>
    </row>
    <row r="173" outlineLevel="3" ht="20" customHeight="1">
      <c r="A173" s="21" t="inlineStr">
        <is>
          <t>• Atender telefono</t>
        </is>
      </c>
      <c r="B173" s="22" t="inlineStr">
        <is>
          <t>Tarea</t>
        </is>
      </c>
      <c r="C173" s="23" t="inlineStr">
        <is>
          <t>AB / RM</t>
        </is>
      </c>
      <c r="D173" s="23" t="inlineStr">
        <is>
          <t>Diario</t>
        </is>
      </c>
      <c r="E173" s="23" t="inlineStr">
        <is>
          <t>A confirmar</t>
        </is>
      </c>
      <c r="F173" s="24" t="inlineStr">
        <is>
          <t>Dia/momento: Interrupcion. Responsable en el catalogo figura como LOG (sin persona especifica asignada)</t>
        </is>
      </c>
    </row>
    <row r="174" outlineLevel="3" ht="20" customHeight="1">
      <c r="A174" s="21" t="inlineStr">
        <is>
          <t>• Atender tecnico en sitio</t>
        </is>
      </c>
      <c r="B174" s="22" t="inlineStr">
        <is>
          <t>Tarea</t>
        </is>
      </c>
      <c r="C174" s="23" t="inlineStr">
        <is>
          <t>AB / RM</t>
        </is>
      </c>
      <c r="D174" s="23" t="inlineStr">
        <is>
          <t>Diario</t>
        </is>
      </c>
      <c r="E174" s="23" t="inlineStr">
        <is>
          <t>A confirmar</t>
        </is>
      </c>
      <c r="F174" s="24" t="inlineStr">
        <is>
          <t>Dia/momento: Interrupcion. Responsable en el catalogo figura como LOG (sin persona especifica asignada)</t>
        </is>
      </c>
    </row>
    <row r="175" outlineLevel="3" ht="20" customHeight="1">
      <c r="A175" s="21" t="inlineStr">
        <is>
          <t>• Ingresar de forma remota por BabyWare</t>
        </is>
      </c>
      <c r="B175" s="22" t="inlineStr">
        <is>
          <t>Tarea</t>
        </is>
      </c>
      <c r="C175" s="23" t="inlineStr">
        <is>
          <t>AB / RM</t>
        </is>
      </c>
      <c r="D175" s="23" t="inlineStr">
        <is>
          <t>IntraDiario</t>
        </is>
      </c>
      <c r="E175" s="23" t="inlineStr">
        <is>
          <t>A confirmar</t>
        </is>
      </c>
      <c r="F175" s="24" t="inlineStr">
        <is>
          <t>Dia/momento: Interrupcion. Responsable en el catalogo figura como LOG (sin persona especifica asignada)</t>
        </is>
      </c>
    </row>
    <row r="176" outlineLevel="3" ht="20" customHeight="1">
      <c r="A176" s="21" t="inlineStr">
        <is>
          <t>• Mandar mensajes a Chips Jasper</t>
        </is>
      </c>
      <c r="B176" s="22" t="inlineStr">
        <is>
          <t>Tarea</t>
        </is>
      </c>
      <c r="C176" s="23" t="inlineStr">
        <is>
          <t>AB / RM</t>
        </is>
      </c>
      <c r="D176" s="23" t="inlineStr">
        <is>
          <t>IntraDiario</t>
        </is>
      </c>
      <c r="E176" s="23" t="inlineStr">
        <is>
          <t>A confirmar</t>
        </is>
      </c>
      <c r="F176" s="24" t="inlineStr">
        <is>
          <t>Dia/momento: Interrupcion. Responsable en el catalogo figura como LOG (sin persona especifica asignada)</t>
        </is>
      </c>
    </row>
    <row r="177" outlineLevel="3" ht="20" customHeight="1">
      <c r="A177" s="21" t="inlineStr">
        <is>
          <t>• Informar robo por Telegram</t>
        </is>
      </c>
      <c r="B177" s="22" t="inlineStr">
        <is>
          <t>Tarea</t>
        </is>
      </c>
      <c r="C177" s="23" t="inlineStr">
        <is>
          <t>AB / RM</t>
        </is>
      </c>
      <c r="D177" s="23" t="inlineStr">
        <is>
          <t>IntraDiario</t>
        </is>
      </c>
      <c r="E177" s="23" t="inlineStr">
        <is>
          <t>A confirmar</t>
        </is>
      </c>
      <c r="F177" s="24" t="inlineStr">
        <is>
          <t>Dia/momento: Interrupcion. Responsable en el catalogo figura como LOG (sin persona especifica asignada)</t>
        </is>
      </c>
    </row>
    <row r="178" outlineLevel="3" ht="20" customHeight="1">
      <c r="A178" s="21" t="inlineStr">
        <is>
          <t>• Atender llamadas de clientes (celular)</t>
        </is>
      </c>
      <c r="B178" s="22" t="inlineStr">
        <is>
          <t>Tarea</t>
        </is>
      </c>
      <c r="C178" s="23" t="inlineStr">
        <is>
          <t>AB / RM</t>
        </is>
      </c>
      <c r="D178" s="23" t="inlineStr">
        <is>
          <t>IntraDiario</t>
        </is>
      </c>
      <c r="E178" s="23" t="inlineStr">
        <is>
          <t>A confirmar</t>
        </is>
      </c>
      <c r="F178" s="24" t="inlineStr">
        <is>
          <t>Dia/momento: Interrupcion. Responsable en el catalogo figura como LOG (sin persona especifica asignada)</t>
        </is>
      </c>
    </row>
    <row r="179" outlineLevel="3" ht="20" customHeight="1">
      <c r="A179" s="21" t="inlineStr">
        <is>
          <t>• Carga de Servicio Tecnico (coordinacion)</t>
        </is>
      </c>
      <c r="B179" s="22" t="inlineStr">
        <is>
          <t>Tarea</t>
        </is>
      </c>
      <c r="C179" s="23" t="inlineStr">
        <is>
          <t>AB / RM</t>
        </is>
      </c>
      <c r="D179" s="23" t="inlineStr">
        <is>
          <t>Diario</t>
        </is>
      </c>
      <c r="E179" s="23" t="inlineStr">
        <is>
          <t>A confirmar</t>
        </is>
      </c>
      <c r="F179" s="24" t="inlineStr">
        <is>
          <t>Responsable en el catalogo figura como LOG (sin persona especifica asignada)</t>
        </is>
      </c>
    </row>
    <row r="180" outlineLevel="2" ht="30" customHeight="1">
      <c r="A180" s="17" t="inlineStr">
        <is>
          <t>→ Proceso de Cargas (nombre tentativo)</t>
        </is>
      </c>
      <c r="B180" s="18" t="inlineStr">
        <is>
          <t>Proceso</t>
        </is>
      </c>
      <c r="C180" s="19" t="inlineStr"/>
      <c r="D180" s="19" t="inlineStr"/>
      <c r="E180" s="19" t="inlineStr"/>
      <c r="F180" s="20" t="inlineStr"/>
    </row>
    <row r="181" outlineLevel="3" ht="20" customHeight="1">
      <c r="A181" s="25" t="inlineStr">
        <is>
          <t>› Planificacion y Carga de la Hoja de Procesos Diarios</t>
        </is>
      </c>
      <c r="B181" s="26" t="inlineStr">
        <is>
          <t>Procedimiento</t>
        </is>
      </c>
      <c r="C181" s="27" t="inlineStr"/>
      <c r="D181" s="27" t="inlineStr"/>
      <c r="E181" s="27" t="inlineStr"/>
      <c r="F181" s="28" t="inlineStr"/>
    </row>
    <row r="182" outlineLevel="4" ht="20" customHeight="1">
      <c r="A182" s="29" t="inlineStr">
        <is>
          <t>• Rehacer hoja de Procesos Diarios</t>
        </is>
      </c>
      <c r="B182" s="22" t="inlineStr">
        <is>
          <t>Tarea</t>
        </is>
      </c>
      <c r="C182" s="23" t="inlineStr">
        <is>
          <t>AB</t>
        </is>
      </c>
      <c r="D182" s="23" t="inlineStr">
        <is>
          <t>Mensual</t>
        </is>
      </c>
      <c r="E182" s="23" t="inlineStr">
        <is>
          <t>60</t>
        </is>
      </c>
      <c r="F182" s="24" t="inlineStr">
        <is>
          <t>Dia/momento: Ultimo dia. Nombre de proceso tentativo (JL, 18/08/2026). | Tiempo de origen (planilla Procesos Diarios) sin validar - no usar para calcular horas hasta confirmar con AB/RM</t>
        </is>
      </c>
    </row>
    <row r="183" outlineLevel="4" ht="20" customHeight="1">
      <c r="A183" s="29" t="inlineStr">
        <is>
          <t>• Rehacer hoja de Procesos Diarios</t>
        </is>
      </c>
      <c r="B183" s="22" t="inlineStr">
        <is>
          <t>Tarea</t>
        </is>
      </c>
      <c r="C183" s="23" t="inlineStr">
        <is>
          <t>RM</t>
        </is>
      </c>
      <c r="D183" s="23" t="inlineStr">
        <is>
          <t>Mensual</t>
        </is>
      </c>
      <c r="E183" s="23" t="inlineStr">
        <is>
          <t>A confirmar</t>
        </is>
      </c>
      <c r="F183" s="24" t="inlineStr">
        <is>
          <t>No aparece en el catalogo de RM - confirmar si RM tambien la hace o es solo de AB</t>
        </is>
      </c>
    </row>
    <row r="184" outlineLevel="4" ht="20" customHeight="1">
      <c r="A184" s="29" t="inlineStr">
        <is>
          <t>• Completar carga de Procesos Diarios</t>
        </is>
      </c>
      <c r="B184" s="22" t="inlineStr">
        <is>
          <t>Tarea</t>
        </is>
      </c>
      <c r="C184" s="23" t="inlineStr">
        <is>
          <t>AB</t>
        </is>
      </c>
      <c r="D184" s="23" t="inlineStr">
        <is>
          <t>Diario</t>
        </is>
      </c>
      <c r="E184" s="23" t="inlineStr">
        <is>
          <t>20</t>
        </is>
      </c>
      <c r="F184" s="24" t="inlineStr">
        <is>
          <t>Dia/momento: Primer dia. | Tiempo de origen (planilla Procesos Diarios) sin validar - no usar para calcular horas hasta confirmar con AB/RM</t>
        </is>
      </c>
    </row>
    <row r="185" outlineLevel="4" ht="20" customHeight="1">
      <c r="A185" s="29" t="inlineStr">
        <is>
          <t>• Completar carga de Procesos Diarios</t>
        </is>
      </c>
      <c r="B185" s="22" t="inlineStr">
        <is>
          <t>Tarea</t>
        </is>
      </c>
      <c r="C185" s="23" t="inlineStr">
        <is>
          <t>RM</t>
        </is>
      </c>
      <c r="D185" s="23" t="inlineStr">
        <is>
          <t>Diario</t>
        </is>
      </c>
      <c r="E185" s="23" t="inlineStr">
        <is>
          <t>5</t>
        </is>
      </c>
      <c r="F185" s="24" t="inlineStr">
        <is>
          <t>Dia/momento: Primer dia. Reubicada desde Rutina Administrativa Diaria (RM). | Tiempo de origen (planilla Procesos Diarios) sin validar - no usar para calcular horas hasta confirmar con AB/RM</t>
        </is>
      </c>
    </row>
    <row r="186" outlineLevel="2" ht="30" customHeight="1">
      <c r="A186" s="17" t="inlineStr">
        <is>
          <t>→ Sin Proceso Asignado (a un costado)</t>
        </is>
      </c>
      <c r="B186" s="18" t="inlineStr">
        <is>
          <t>Proceso</t>
        </is>
      </c>
      <c r="C186" s="19" t="inlineStr"/>
      <c r="D186" s="19" t="inlineStr"/>
      <c r="E186" s="19" t="inlineStr"/>
      <c r="F186" s="20" t="inlineStr"/>
    </row>
    <row r="187" outlineLevel="3" ht="20" customHeight="1">
      <c r="A187" s="21" t="inlineStr">
        <is>
          <t>• Subir publicidad en WhatsApp</t>
        </is>
      </c>
      <c r="B187" s="22" t="inlineStr">
        <is>
          <t>Tarea</t>
        </is>
      </c>
      <c r="C187" s="23" t="inlineStr">
        <is>
          <t>AB</t>
        </is>
      </c>
      <c r="D187" s="23" t="inlineStr">
        <is>
          <t>Diario</t>
        </is>
      </c>
      <c r="E187" s="23" t="inlineStr">
        <is>
          <t>5</t>
        </is>
      </c>
      <c r="F187" s="24" t="inlineStr">
        <is>
          <t>Dia/momento: Primer dia. Tarea comun a todo el equipo de LOG - JL: 'no hay proceso, trabajar en los procesos mas adelante'. | Tiempo de origen (planilla Procesos Diarios) sin validar - no usar para calcular horas hasta confirmar con AB/RM</t>
        </is>
      </c>
    </row>
    <row r="188" outlineLevel="3" ht="20" customHeight="1">
      <c r="A188" s="21" t="inlineStr">
        <is>
          <t>• Subir publicidad en WhatsApp</t>
        </is>
      </c>
      <c r="B188" s="22" t="inlineStr">
        <is>
          <t>Tarea</t>
        </is>
      </c>
      <c r="C188" s="23" t="inlineStr">
        <is>
          <t>RM</t>
        </is>
      </c>
      <c r="D188" s="23" t="inlineStr">
        <is>
          <t>Diario</t>
        </is>
      </c>
      <c r="E188" s="23" t="inlineStr">
        <is>
          <t>5</t>
        </is>
      </c>
      <c r="F188" s="24" t="inlineStr">
        <is>
          <t>Dia/momento: Primer dia. Reubicada desde Rutina Administrativa Diaria (RM). | Tiempo de origen (planilla Procesos Diarios) sin validar - no usar para calcular horas hasta confirmar con AB/RM</t>
        </is>
      </c>
    </row>
    <row r="189" outlineLevel="3" ht="20" customHeight="1">
      <c r="A189" s="21" t="inlineStr">
        <is>
          <t>• Ordenar escritorio</t>
        </is>
      </c>
      <c r="B189" s="22" t="inlineStr">
        <is>
          <t>Tarea</t>
        </is>
      </c>
      <c r="C189" s="23" t="inlineStr">
        <is>
          <t>AB</t>
        </is>
      </c>
      <c r="D189" s="23" t="inlineStr">
        <is>
          <t>Diario</t>
        </is>
      </c>
      <c r="E189" s="23" t="inlineStr">
        <is>
          <t>10</t>
        </is>
      </c>
      <c r="F189" s="24" t="inlineStr">
        <is>
          <t>Dia/momento: Primer dia. JL: deberian ser 15-20 min al final del dia; hoy complicado de cumplir. | Tiempo de origen (planilla Procesos Diarios) sin validar - no usar para calcular horas hasta confirmar con AB/RM</t>
        </is>
      </c>
    </row>
    <row r="190" outlineLevel="3" ht="20" customHeight="1">
      <c r="A190" s="21" t="inlineStr">
        <is>
          <t>• Ordenar escritorio</t>
        </is>
      </c>
      <c r="B190" s="22" t="inlineStr">
        <is>
          <t>Tarea</t>
        </is>
      </c>
      <c r="C190" s="23" t="inlineStr">
        <is>
          <t>RM</t>
        </is>
      </c>
      <c r="D190" s="23" t="inlineStr">
        <is>
          <t>Diario</t>
        </is>
      </c>
      <c r="E190" s="23" t="inlineStr">
        <is>
          <t>10</t>
        </is>
      </c>
      <c r="F190" s="24" t="inlineStr">
        <is>
          <t>Dia/momento: Primer dia. Reubicada desde Rutina Administrativa Diaria (RM). | Tiempo de origen (planilla Procesos Diarios) sin validar - no usar para calcular horas hasta confirmar con AB/RM</t>
        </is>
      </c>
    </row>
    <row r="191" outlineLevel="3" ht="20" customHeight="1">
      <c r="A191" s="21" t="inlineStr">
        <is>
          <t>• Preparacion de equipos de instalacion (ST)</t>
        </is>
      </c>
      <c r="B191" s="22" t="inlineStr">
        <is>
          <t>Tarea</t>
        </is>
      </c>
      <c r="C191" s="23" t="inlineStr">
        <is>
          <t>AB</t>
        </is>
      </c>
      <c r="D191" s="23" t="inlineStr">
        <is>
          <t>A Demanda</t>
        </is>
      </c>
      <c r="E191" s="23" t="inlineStr">
        <is>
          <t>30</t>
        </is>
      </c>
      <c r="F191" s="24" t="inlineStr">
        <is>
          <t>JL: 'no se en que proceso pondria esta tarea' - depende de cuanto venda Comercial, entre 0 y varias por dia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96"/>
  <sheetViews>
    <sheetView showGridLines="0" workbookViewId="0">
      <pane xSplit="6" ySplit="1" topLeftCell="G2"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34" customWidth="1" min="3" max="3"/>
    <col width="13" customWidth="1" min="4" max="4"/>
    <col width="11" customWidth="1" min="5" max="5"/>
    <col width="20"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4.2" customWidth="1" min="24" max="24"/>
    <col width="4.2" customWidth="1" min="25" max="25"/>
    <col width="4.2" customWidth="1" min="26" max="26"/>
    <col width="4.2" customWidth="1" min="27" max="27"/>
    <col width="4.2" customWidth="1" min="28" max="28"/>
    <col width="4.2" customWidth="1" min="29" max="29"/>
    <col width="4.2" customWidth="1" min="30" max="30"/>
    <col width="4.2" customWidth="1" min="31" max="31"/>
    <col width="4.2" customWidth="1" min="32" max="32"/>
    <col width="12" customWidth="1" min="33" max="33"/>
    <col width="12" customWidth="1" min="34" max="34"/>
    <col width="11" customWidth="1" min="35" max="35"/>
  </cols>
  <sheetData>
    <row r="1" ht="46" customHeight="1">
      <c r="A1" s="34" t="inlineStr">
        <is>
          <t>Proceso</t>
        </is>
      </c>
      <c r="B1" s="34" t="inlineStr">
        <is>
          <t>Procedimiento</t>
        </is>
      </c>
      <c r="C1" s="34" t="inlineStr">
        <is>
          <t>Tarea</t>
        </is>
      </c>
      <c r="D1" s="34" t="inlineStr">
        <is>
          <t>Frecuencia</t>
        </is>
      </c>
      <c r="E1" s="34" t="inlineStr">
        <is>
          <t>Tiempo est. (min)</t>
        </is>
      </c>
      <c r="F1" s="34" t="inlineStr">
        <is>
          <t>Cobertura de días</t>
        </is>
      </c>
      <c r="G1" s="35" t="inlineStr">
        <is>
          <t>S 01/08</t>
        </is>
      </c>
      <c r="H1" s="36" t="inlineStr">
        <is>
          <t>L 03/08</t>
        </is>
      </c>
      <c r="I1" s="36" t="inlineStr">
        <is>
          <t>M 04/08</t>
        </is>
      </c>
      <c r="J1" s="36" t="inlineStr">
        <is>
          <t>X 05/08</t>
        </is>
      </c>
      <c r="K1" s="36" t="inlineStr">
        <is>
          <t>J 06/08</t>
        </is>
      </c>
      <c r="L1" s="36" t="inlineStr">
        <is>
          <t>V 07/08</t>
        </is>
      </c>
      <c r="M1" s="35" t="inlineStr">
        <is>
          <t>S 08/08</t>
        </is>
      </c>
      <c r="N1" s="36" t="inlineStr">
        <is>
          <t>L 10/08</t>
        </is>
      </c>
      <c r="O1" s="36" t="inlineStr">
        <is>
          <t>M 11/08</t>
        </is>
      </c>
      <c r="P1" s="36" t="inlineStr">
        <is>
          <t>X 12/08</t>
        </is>
      </c>
      <c r="Q1" s="36" t="inlineStr">
        <is>
          <t>J 13/08</t>
        </is>
      </c>
      <c r="R1" s="36" t="inlineStr">
        <is>
          <t>V 14/08</t>
        </is>
      </c>
      <c r="S1" s="35" t="inlineStr">
        <is>
          <t>S 15/08</t>
        </is>
      </c>
      <c r="T1" s="36" t="inlineStr">
        <is>
          <t>L 17/08</t>
        </is>
      </c>
      <c r="U1" s="36" t="inlineStr">
        <is>
          <t>M 18/08</t>
        </is>
      </c>
      <c r="V1" s="36" t="inlineStr">
        <is>
          <t>X 19/08</t>
        </is>
      </c>
      <c r="W1" s="36" t="inlineStr">
        <is>
          <t>J 20/08</t>
        </is>
      </c>
      <c r="X1" s="36" t="inlineStr">
        <is>
          <t>V 21/08</t>
        </is>
      </c>
      <c r="Y1" s="35" t="inlineStr">
        <is>
          <t>S 22/08</t>
        </is>
      </c>
      <c r="Z1" s="36" t="inlineStr">
        <is>
          <t>L 24/08</t>
        </is>
      </c>
      <c r="AA1" s="36" t="inlineStr">
        <is>
          <t>M 25/08</t>
        </is>
      </c>
      <c r="AB1" s="36" t="inlineStr">
        <is>
          <t>X 26/08</t>
        </is>
      </c>
      <c r="AC1" s="36" t="inlineStr">
        <is>
          <t>J 27/08</t>
        </is>
      </c>
      <c r="AD1" s="36" t="inlineStr">
        <is>
          <t>V 28/08</t>
        </is>
      </c>
      <c r="AE1" s="35" t="inlineStr">
        <is>
          <t>S 29/08</t>
        </is>
      </c>
      <c r="AF1" s="36" t="inlineStr">
        <is>
          <t>L 31/08</t>
        </is>
      </c>
      <c r="AG1" s="34" t="inlineStr">
        <is>
          <t>Hs. esperadas (mes)</t>
        </is>
      </c>
      <c r="AH1" s="34" t="inlineStr">
        <is>
          <t>Hs. marcadas hechas</t>
        </is>
      </c>
      <c r="AI1" s="34" t="inlineStr">
        <is>
          <t>Diferencia (hs)</t>
        </is>
      </c>
    </row>
    <row r="2">
      <c r="A2" s="37" t="inlineStr">
        <is>
          <t>Administracion General (AB)</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row>
    <row r="3">
      <c r="A3" s="39" t="inlineStr">
        <is>
          <t>Administracion General (AB)</t>
        </is>
      </c>
      <c r="B3" s="40" t="inlineStr">
        <is>
          <t>N/A</t>
        </is>
      </c>
      <c r="C3" s="41" t="inlineStr">
        <is>
          <t>Control e impresion de R.E.E.</t>
        </is>
      </c>
      <c r="D3" s="42" t="inlineStr">
        <is>
          <t>Mensual</t>
        </is>
      </c>
      <c r="E3" s="42" t="n">
        <v>60</v>
      </c>
      <c r="F3" s="43" t="inlineStr">
        <is>
          <t>Fija</t>
        </is>
      </c>
      <c r="G3" s="44" t="n"/>
      <c r="H3" s="44" t="n"/>
      <c r="I3" s="44" t="n"/>
      <c r="J3" s="44" t="n"/>
      <c r="K3" s="44" t="n"/>
      <c r="L3" s="44" t="n"/>
      <c r="M3" s="44" t="n"/>
      <c r="N3" s="44" t="n"/>
      <c r="O3" s="44" t="n"/>
      <c r="P3" s="44" t="n"/>
      <c r="Q3" s="44" t="n"/>
      <c r="R3" s="44" t="n"/>
      <c r="S3" s="44" t="n"/>
      <c r="T3" s="44" t="n"/>
      <c r="U3" s="44" t="n"/>
      <c r="V3" s="44" t="n"/>
      <c r="W3" s="44" t="n"/>
      <c r="X3" s="44" t="n"/>
      <c r="Y3" s="44" t="n"/>
      <c r="Z3" s="44" t="n"/>
      <c r="AA3" s="44" t="n"/>
      <c r="AB3" s="45" t="n"/>
      <c r="AC3" s="44" t="n"/>
      <c r="AD3" s="44" t="n"/>
      <c r="AE3" s="44" t="n"/>
      <c r="AF3" s="44" t="n"/>
      <c r="AG3" s="42" t="n">
        <v>1</v>
      </c>
      <c r="AH3" s="42">
        <f>COUNTIF(G3:AF3,"X")*60.0/60</f>
        <v/>
      </c>
      <c r="AI3" s="42">
        <f>AH3-AG3</f>
        <v/>
      </c>
    </row>
    <row r="4">
      <c r="A4" s="39" t="inlineStr">
        <is>
          <t>Administracion General (AB)</t>
        </is>
      </c>
      <c r="B4" s="40" t="inlineStr">
        <is>
          <t>N/A</t>
        </is>
      </c>
      <c r="C4" s="41" t="inlineStr">
        <is>
          <t>Control y solicitud de CSID a CM</t>
        </is>
      </c>
      <c r="D4" s="42" t="inlineStr">
        <is>
          <t>Quincenal</t>
        </is>
      </c>
      <c r="E4" s="42" t="n">
        <v>15</v>
      </c>
      <c r="F4" s="43" t="inlineStr">
        <is>
          <t>Fija</t>
        </is>
      </c>
      <c r="G4" s="44" t="n"/>
      <c r="H4" s="44" t="n"/>
      <c r="I4" s="44" t="n"/>
      <c r="J4" s="44" t="n"/>
      <c r="K4" s="44" t="n"/>
      <c r="L4" s="44" t="n"/>
      <c r="M4" s="44" t="n"/>
      <c r="N4" s="44" t="n"/>
      <c r="O4" s="44" t="n"/>
      <c r="P4" s="44" t="n"/>
      <c r="Q4" s="45" t="n"/>
      <c r="R4" s="44" t="n"/>
      <c r="S4" s="44" t="n"/>
      <c r="T4" s="44" t="n"/>
      <c r="U4" s="44" t="n"/>
      <c r="V4" s="44" t="n"/>
      <c r="W4" s="44" t="n"/>
      <c r="X4" s="44" t="n"/>
      <c r="Y4" s="44" t="n"/>
      <c r="Z4" s="44" t="n"/>
      <c r="AA4" s="44" t="n"/>
      <c r="AB4" s="44" t="n"/>
      <c r="AC4" s="45" t="n"/>
      <c r="AD4" s="44" t="n"/>
      <c r="AE4" s="44" t="n"/>
      <c r="AF4" s="44" t="n"/>
      <c r="AG4" s="42" t="n">
        <v>0.5</v>
      </c>
      <c r="AH4" s="42">
        <f>COUNTIF(G4:AF4,"X")*15.0/60</f>
        <v/>
      </c>
      <c r="AI4" s="42">
        <f>AH4-AG4</f>
        <v/>
      </c>
    </row>
    <row r="5">
      <c r="A5" s="37" t="inlineStr">
        <is>
          <t>Tareas Reactivas (Interrupciones)</t>
        </is>
      </c>
      <c r="B5" s="38" t="n"/>
      <c r="C5" s="38" t="n"/>
      <c r="D5" s="38" t="n"/>
      <c r="E5" s="38" t="n"/>
      <c r="F5" s="38" t="n"/>
      <c r="G5" s="38" t="n"/>
      <c r="H5" s="38" t="n"/>
      <c r="I5" s="38" t="n"/>
      <c r="J5" s="38" t="n"/>
      <c r="K5" s="38" t="n"/>
      <c r="L5" s="38" t="n"/>
      <c r="M5" s="38" t="n"/>
      <c r="N5" s="38" t="n"/>
      <c r="O5" s="38" t="n"/>
      <c r="P5" s="38" t="n"/>
      <c r="Q5" s="38" t="n"/>
      <c r="R5" s="38" t="n"/>
      <c r="S5" s="38" t="n"/>
      <c r="T5" s="38" t="n"/>
      <c r="U5" s="38" t="n"/>
      <c r="V5" s="38" t="n"/>
      <c r="W5" s="38" t="n"/>
      <c r="X5" s="38" t="n"/>
      <c r="Y5" s="38" t="n"/>
      <c r="Z5" s="38" t="n"/>
      <c r="AA5" s="38" t="n"/>
      <c r="AB5" s="38" t="n"/>
      <c r="AC5" s="38" t="n"/>
      <c r="AD5" s="38" t="n"/>
      <c r="AE5" s="38" t="n"/>
      <c r="AF5" s="38" t="n"/>
      <c r="AG5" s="38" t="n"/>
      <c r="AH5" s="38" t="n"/>
      <c r="AI5" s="38" t="n"/>
    </row>
    <row r="6">
      <c r="A6" s="39" t="inlineStr">
        <is>
          <t>Tareas Reactivas (Interrupciones)</t>
        </is>
      </c>
      <c r="B6" s="40" t="inlineStr">
        <is>
          <t>N/A</t>
        </is>
      </c>
      <c r="C6" s="41" t="inlineStr">
        <is>
          <t>Coordinar instalaciones NCS</t>
        </is>
      </c>
      <c r="D6" s="42" t="inlineStr">
        <is>
          <t>Semanal</t>
        </is>
      </c>
      <c r="E6" s="42" t="n">
        <v>5</v>
      </c>
      <c r="F6" s="43" t="inlineStr">
        <is>
          <t>Cualquier día (reactiva)</t>
        </is>
      </c>
      <c r="G6" s="46" t="n"/>
      <c r="H6" s="46" t="n"/>
      <c r="I6" s="46" t="n"/>
      <c r="J6" s="46" t="n"/>
      <c r="K6" s="46" t="n"/>
      <c r="L6" s="46" t="n"/>
      <c r="M6" s="46" t="n"/>
      <c r="N6" s="46" t="n"/>
      <c r="O6" s="46" t="n"/>
      <c r="P6" s="46" t="n"/>
      <c r="Q6" s="46" t="n"/>
      <c r="R6" s="46" t="n"/>
      <c r="S6" s="46" t="n"/>
      <c r="T6" s="46" t="n"/>
      <c r="U6" s="46" t="n"/>
      <c r="V6" s="46" t="n"/>
      <c r="W6" s="46" t="n"/>
      <c r="X6" s="46" t="n"/>
      <c r="Y6" s="46" t="n"/>
      <c r="Z6" s="46" t="n"/>
      <c r="AA6" s="46" t="n"/>
      <c r="AB6" s="46" t="n"/>
      <c r="AC6" s="46" t="n"/>
      <c r="AD6" s="46" t="n"/>
      <c r="AE6" s="46" t="n"/>
      <c r="AF6" s="46" t="n"/>
      <c r="AG6" s="42" t="inlineStr">
        <is>
          <t>—</t>
        </is>
      </c>
      <c r="AH6" s="42">
        <f>COUNTIF(G6:AF6,"X")*5.0/60</f>
        <v/>
      </c>
      <c r="AI6" s="42" t="inlineStr">
        <is>
          <t>—</t>
        </is>
      </c>
    </row>
    <row r="7">
      <c r="A7" s="39" t="inlineStr">
        <is>
          <t>Tareas Reactivas (Interrupciones)</t>
        </is>
      </c>
      <c r="B7" s="40" t="inlineStr">
        <is>
          <t>N/A</t>
        </is>
      </c>
      <c r="C7" s="41" t="inlineStr">
        <is>
          <t>Responder informes de Monitoreo</t>
        </is>
      </c>
      <c r="D7" s="42" t="inlineStr">
        <is>
          <t>IntraDiario</t>
        </is>
      </c>
      <c r="E7" s="42" t="n">
        <v>60</v>
      </c>
      <c r="F7" s="43" t="inlineStr">
        <is>
          <t>Cualquier día (reactiva)</t>
        </is>
      </c>
      <c r="G7" s="46" t="n"/>
      <c r="H7" s="46" t="n"/>
      <c r="I7" s="46" t="n"/>
      <c r="J7" s="46" t="n"/>
      <c r="K7" s="46" t="n"/>
      <c r="L7" s="46" t="n"/>
      <c r="M7" s="46" t="n"/>
      <c r="N7" s="46" t="n"/>
      <c r="O7" s="46" t="n"/>
      <c r="P7" s="46" t="n"/>
      <c r="Q7" s="46" t="n"/>
      <c r="R7" s="46" t="n"/>
      <c r="S7" s="46" t="n"/>
      <c r="T7" s="46" t="n"/>
      <c r="U7" s="46" t="n"/>
      <c r="V7" s="46" t="n"/>
      <c r="W7" s="46" t="n"/>
      <c r="X7" s="46" t="n"/>
      <c r="Y7" s="46" t="n"/>
      <c r="Z7" s="46" t="n"/>
      <c r="AA7" s="46" t="n"/>
      <c r="AB7" s="46" t="n"/>
      <c r="AC7" s="46" t="n"/>
      <c r="AD7" s="46" t="n"/>
      <c r="AE7" s="46" t="n"/>
      <c r="AF7" s="46" t="n"/>
      <c r="AG7" s="42" t="inlineStr">
        <is>
          <t>—</t>
        </is>
      </c>
      <c r="AH7" s="42">
        <f>COUNTIF(G7:AF7,"X")*60.0/60</f>
        <v/>
      </c>
      <c r="AI7" s="42" t="inlineStr">
        <is>
          <t>—</t>
        </is>
      </c>
    </row>
    <row r="8">
      <c r="A8" s="39" t="inlineStr">
        <is>
          <t>Tareas Reactivas (Interrupciones)</t>
        </is>
      </c>
      <c r="B8" s="40" t="inlineStr">
        <is>
          <t>N/A</t>
        </is>
      </c>
      <c r="C8" s="41" t="inlineStr">
        <is>
          <t>Responder informes de Pvillarreal (CM)</t>
        </is>
      </c>
      <c r="D8" s="42" t="inlineStr">
        <is>
          <t>IntraDiario</t>
        </is>
      </c>
      <c r="E8" s="42" t="inlineStr">
        <is>
          <t>A confirmar</t>
        </is>
      </c>
      <c r="F8" s="43" t="inlineStr">
        <is>
          <t>Cualquier día (reactiva)</t>
        </is>
      </c>
      <c r="G8" s="46" t="n"/>
      <c r="H8" s="46" t="n"/>
      <c r="I8" s="46" t="n"/>
      <c r="J8" s="46" t="n"/>
      <c r="K8" s="46" t="n"/>
      <c r="L8" s="46" t="n"/>
      <c r="M8" s="46" t="n"/>
      <c r="N8" s="46" t="n"/>
      <c r="O8" s="46" t="n"/>
      <c r="P8" s="46" t="n"/>
      <c r="Q8" s="46" t="n"/>
      <c r="R8" s="46" t="n"/>
      <c r="S8" s="46" t="n"/>
      <c r="T8" s="46" t="n"/>
      <c r="U8" s="46" t="n"/>
      <c r="V8" s="46" t="n"/>
      <c r="W8" s="46" t="n"/>
      <c r="X8" s="46" t="n"/>
      <c r="Y8" s="46" t="n"/>
      <c r="Z8" s="46" t="n"/>
      <c r="AA8" s="46" t="n"/>
      <c r="AB8" s="46" t="n"/>
      <c r="AC8" s="46" t="n"/>
      <c r="AD8" s="46" t="n"/>
      <c r="AE8" s="46" t="n"/>
      <c r="AF8" s="46" t="n"/>
      <c r="AG8" s="42" t="inlineStr">
        <is>
          <t>—</t>
        </is>
      </c>
      <c r="AH8" s="42">
        <f>COUNTIF(G8:AF8,"X")</f>
        <v/>
      </c>
      <c r="AI8" s="42" t="inlineStr">
        <is>
          <t>—</t>
        </is>
      </c>
    </row>
    <row r="9">
      <c r="A9" s="39" t="inlineStr">
        <is>
          <t>Tareas Reactivas (Interrupciones)</t>
        </is>
      </c>
      <c r="B9" s="40" t="inlineStr">
        <is>
          <t>N/A</t>
        </is>
      </c>
      <c r="C9" s="41" t="inlineStr">
        <is>
          <t>Guardar y etiquetar stock que ingresa fuera de horario</t>
        </is>
      </c>
      <c r="D9" s="42" t="inlineStr">
        <is>
          <t>Quincenal</t>
        </is>
      </c>
      <c r="E9" s="42" t="n">
        <v>120</v>
      </c>
      <c r="F9" s="43" t="inlineStr">
        <is>
          <t>Cualquier día (reactiva)</t>
        </is>
      </c>
      <c r="G9" s="46" t="n"/>
      <c r="H9" s="46" t="n"/>
      <c r="I9" s="46" t="n"/>
      <c r="J9" s="46" t="n"/>
      <c r="K9" s="46" t="n"/>
      <c r="L9" s="46" t="n"/>
      <c r="M9" s="46" t="n"/>
      <c r="N9" s="46" t="n"/>
      <c r="O9" s="46" t="n"/>
      <c r="P9" s="46" t="n"/>
      <c r="Q9" s="46" t="n"/>
      <c r="R9" s="46" t="n"/>
      <c r="S9" s="46" t="n"/>
      <c r="T9" s="46" t="n"/>
      <c r="U9" s="46" t="n"/>
      <c r="V9" s="46" t="n"/>
      <c r="W9" s="46" t="n"/>
      <c r="X9" s="46" t="n"/>
      <c r="Y9" s="46" t="n"/>
      <c r="Z9" s="46" t="n"/>
      <c r="AA9" s="46" t="n"/>
      <c r="AB9" s="46" t="n"/>
      <c r="AC9" s="46" t="n"/>
      <c r="AD9" s="46" t="n"/>
      <c r="AE9" s="46" t="n"/>
      <c r="AF9" s="46" t="n"/>
      <c r="AG9" s="42" t="inlineStr">
        <is>
          <t>—</t>
        </is>
      </c>
      <c r="AH9" s="42">
        <f>COUNTIF(G9:AF9,"X")*120.0/60</f>
        <v/>
      </c>
      <c r="AI9" s="42" t="inlineStr">
        <is>
          <t>—</t>
        </is>
      </c>
    </row>
    <row r="10">
      <c r="A10" s="39" t="inlineStr">
        <is>
          <t>Tareas Reactivas (Interrupciones)</t>
        </is>
      </c>
      <c r="B10" s="40" t="inlineStr">
        <is>
          <t>N/A</t>
        </is>
      </c>
      <c r="C10" s="41" t="inlineStr">
        <is>
          <t>Recibir devolucion de instalacion (LM)</t>
        </is>
      </c>
      <c r="D10" s="42" t="inlineStr">
        <is>
          <t>Semanal</t>
        </is>
      </c>
      <c r="E10" s="42" t="n">
        <v>20</v>
      </c>
      <c r="F10" s="43" t="inlineStr">
        <is>
          <t>Fija</t>
        </is>
      </c>
      <c r="G10" s="44" t="n"/>
      <c r="H10" s="45" t="n"/>
      <c r="I10" s="44" t="n"/>
      <c r="J10" s="44" t="n"/>
      <c r="K10" s="44" t="n"/>
      <c r="L10" s="44" t="n"/>
      <c r="M10" s="44" t="n"/>
      <c r="N10" s="45" t="n"/>
      <c r="O10" s="44" t="n"/>
      <c r="P10" s="44" t="n"/>
      <c r="Q10" s="44" t="n"/>
      <c r="R10" s="44" t="n"/>
      <c r="S10" s="44" t="n"/>
      <c r="T10" s="45" t="n"/>
      <c r="U10" s="44" t="n"/>
      <c r="V10" s="44" t="n"/>
      <c r="W10" s="44" t="n"/>
      <c r="X10" s="44" t="n"/>
      <c r="Y10" s="44" t="n"/>
      <c r="Z10" s="45" t="n"/>
      <c r="AA10" s="44" t="n"/>
      <c r="AB10" s="44" t="n"/>
      <c r="AC10" s="44" t="n"/>
      <c r="AD10" s="44" t="n"/>
      <c r="AE10" s="44" t="n"/>
      <c r="AF10" s="45" t="n"/>
      <c r="AG10" s="42" t="n">
        <v>1.67</v>
      </c>
      <c r="AH10" s="42">
        <f>COUNTIF(G10:AF10,"X")*20.0/60</f>
        <v/>
      </c>
      <c r="AI10" s="42">
        <f>AH10-AG10</f>
        <v/>
      </c>
    </row>
    <row r="11">
      <c r="A11" s="39" t="inlineStr">
        <is>
          <t>Tareas Reactivas (Interrupciones)</t>
        </is>
      </c>
      <c r="B11" s="40" t="inlineStr">
        <is>
          <t>N/A</t>
        </is>
      </c>
      <c r="C11" s="41" t="inlineStr">
        <is>
          <t>Recibir devolucion de instalacion (AA)</t>
        </is>
      </c>
      <c r="D11" s="42" t="inlineStr">
        <is>
          <t>Semanal</t>
        </is>
      </c>
      <c r="E11" s="42" t="n">
        <v>20</v>
      </c>
      <c r="F11" s="43" t="inlineStr">
        <is>
          <t>Fija</t>
        </is>
      </c>
      <c r="G11" s="44" t="n"/>
      <c r="H11" s="45" t="n"/>
      <c r="I11" s="44" t="n"/>
      <c r="J11" s="44" t="n"/>
      <c r="K11" s="44" t="n"/>
      <c r="L11" s="44" t="n"/>
      <c r="M11" s="44" t="n"/>
      <c r="N11" s="45" t="n"/>
      <c r="O11" s="44" t="n"/>
      <c r="P11" s="44" t="n"/>
      <c r="Q11" s="44" t="n"/>
      <c r="R11" s="44" t="n"/>
      <c r="S11" s="44" t="n"/>
      <c r="T11" s="45" t="n"/>
      <c r="U11" s="44" t="n"/>
      <c r="V11" s="44" t="n"/>
      <c r="W11" s="44" t="n"/>
      <c r="X11" s="44" t="n"/>
      <c r="Y11" s="44" t="n"/>
      <c r="Z11" s="45" t="n"/>
      <c r="AA11" s="44" t="n"/>
      <c r="AB11" s="44" t="n"/>
      <c r="AC11" s="44" t="n"/>
      <c r="AD11" s="44" t="n"/>
      <c r="AE11" s="44" t="n"/>
      <c r="AF11" s="45" t="n"/>
      <c r="AG11" s="42" t="n">
        <v>1.67</v>
      </c>
      <c r="AH11" s="42">
        <f>COUNTIF(G11:AF11,"X")*20.0/60</f>
        <v/>
      </c>
      <c r="AI11" s="42">
        <f>AH11-AG11</f>
        <v/>
      </c>
    </row>
    <row r="12">
      <c r="A12" s="39" t="inlineStr">
        <is>
          <t>Tareas Reactivas (Interrupciones)</t>
        </is>
      </c>
      <c r="B12" s="40" t="inlineStr">
        <is>
          <t>N/A</t>
        </is>
      </c>
      <c r="C12" s="41" t="inlineStr">
        <is>
          <t>Atender telefono</t>
        </is>
      </c>
      <c r="D12" s="42" t="inlineStr">
        <is>
          <t>Diario</t>
        </is>
      </c>
      <c r="E12" s="42" t="inlineStr">
        <is>
          <t>A confirmar</t>
        </is>
      </c>
      <c r="F12" s="43" t="inlineStr">
        <is>
          <t>Cualquier día (reactiva)</t>
        </is>
      </c>
      <c r="G12" s="46" t="n"/>
      <c r="H12" s="46" t="n"/>
      <c r="I12" s="46" t="n"/>
      <c r="J12" s="46" t="n"/>
      <c r="K12" s="46" t="n"/>
      <c r="L12" s="46" t="n"/>
      <c r="M12" s="46" t="n"/>
      <c r="N12" s="46" t="n"/>
      <c r="O12" s="46" t="n"/>
      <c r="P12" s="46" t="n"/>
      <c r="Q12" s="46" t="n"/>
      <c r="R12" s="46" t="n"/>
      <c r="S12" s="46" t="n"/>
      <c r="T12" s="46" t="n"/>
      <c r="U12" s="46" t="n"/>
      <c r="V12" s="46" t="n"/>
      <c r="W12" s="46" t="n"/>
      <c r="X12" s="46" t="n"/>
      <c r="Y12" s="46" t="n"/>
      <c r="Z12" s="46" t="n"/>
      <c r="AA12" s="46" t="n"/>
      <c r="AB12" s="46" t="n"/>
      <c r="AC12" s="46" t="n"/>
      <c r="AD12" s="46" t="n"/>
      <c r="AE12" s="46" t="n"/>
      <c r="AF12" s="46" t="n"/>
      <c r="AG12" s="42" t="inlineStr">
        <is>
          <t>—</t>
        </is>
      </c>
      <c r="AH12" s="42">
        <f>COUNTIF(G12:AF12,"X")</f>
        <v/>
      </c>
      <c r="AI12" s="42" t="inlineStr">
        <is>
          <t>—</t>
        </is>
      </c>
    </row>
    <row r="13">
      <c r="A13" s="39" t="inlineStr">
        <is>
          <t>Tareas Reactivas (Interrupciones)</t>
        </is>
      </c>
      <c r="B13" s="40" t="inlineStr">
        <is>
          <t>N/A</t>
        </is>
      </c>
      <c r="C13" s="41" t="inlineStr">
        <is>
          <t>Atender tecnico en sitio</t>
        </is>
      </c>
      <c r="D13" s="42" t="inlineStr">
        <is>
          <t>Diario</t>
        </is>
      </c>
      <c r="E13" s="42" t="inlineStr">
        <is>
          <t>A confirmar</t>
        </is>
      </c>
      <c r="F13" s="43" t="inlineStr">
        <is>
          <t>Cualquier día (reactiva)</t>
        </is>
      </c>
      <c r="G13" s="46" t="n"/>
      <c r="H13" s="46" t="n"/>
      <c r="I13" s="46" t="n"/>
      <c r="J13" s="46" t="n"/>
      <c r="K13" s="46" t="n"/>
      <c r="L13" s="46" t="n"/>
      <c r="M13" s="46" t="n"/>
      <c r="N13" s="46" t="n"/>
      <c r="O13" s="46" t="n"/>
      <c r="P13" s="46" t="n"/>
      <c r="Q13" s="46" t="n"/>
      <c r="R13" s="46" t="n"/>
      <c r="S13" s="46" t="n"/>
      <c r="T13" s="46" t="n"/>
      <c r="U13" s="46" t="n"/>
      <c r="V13" s="46" t="n"/>
      <c r="W13" s="46" t="n"/>
      <c r="X13" s="46" t="n"/>
      <c r="Y13" s="46" t="n"/>
      <c r="Z13" s="46" t="n"/>
      <c r="AA13" s="46" t="n"/>
      <c r="AB13" s="46" t="n"/>
      <c r="AC13" s="46" t="n"/>
      <c r="AD13" s="46" t="n"/>
      <c r="AE13" s="46" t="n"/>
      <c r="AF13" s="46" t="n"/>
      <c r="AG13" s="42" t="inlineStr">
        <is>
          <t>—</t>
        </is>
      </c>
      <c r="AH13" s="42">
        <f>COUNTIF(G13:AF13,"X")</f>
        <v/>
      </c>
      <c r="AI13" s="42" t="inlineStr">
        <is>
          <t>—</t>
        </is>
      </c>
    </row>
    <row r="14">
      <c r="A14" s="39" t="inlineStr">
        <is>
          <t>Tareas Reactivas (Interrupciones)</t>
        </is>
      </c>
      <c r="B14" s="40" t="inlineStr">
        <is>
          <t>N/A</t>
        </is>
      </c>
      <c r="C14" s="41" t="inlineStr">
        <is>
          <t>Ingresar de forma remota por BabyWare</t>
        </is>
      </c>
      <c r="D14" s="42" t="inlineStr">
        <is>
          <t>IntraDiario</t>
        </is>
      </c>
      <c r="E14" s="42" t="inlineStr">
        <is>
          <t>A confirmar</t>
        </is>
      </c>
      <c r="F14" s="43" t="inlineStr">
        <is>
          <t>Cualquier día (reactiva)</t>
        </is>
      </c>
      <c r="G14" s="46" t="n"/>
      <c r="H14" s="46" t="n"/>
      <c r="I14" s="46" t="n"/>
      <c r="J14" s="46" t="n"/>
      <c r="K14" s="46" t="n"/>
      <c r="L14" s="46" t="n"/>
      <c r="M14" s="46" t="n"/>
      <c r="N14" s="46" t="n"/>
      <c r="O14" s="46" t="n"/>
      <c r="P14" s="46" t="n"/>
      <c r="Q14" s="46" t="n"/>
      <c r="R14" s="46" t="n"/>
      <c r="S14" s="46" t="n"/>
      <c r="T14" s="46" t="n"/>
      <c r="U14" s="46" t="n"/>
      <c r="V14" s="46" t="n"/>
      <c r="W14" s="46" t="n"/>
      <c r="X14" s="46" t="n"/>
      <c r="Y14" s="46" t="n"/>
      <c r="Z14" s="46" t="n"/>
      <c r="AA14" s="46" t="n"/>
      <c r="AB14" s="46" t="n"/>
      <c r="AC14" s="46" t="n"/>
      <c r="AD14" s="46" t="n"/>
      <c r="AE14" s="46" t="n"/>
      <c r="AF14" s="46" t="n"/>
      <c r="AG14" s="42" t="inlineStr">
        <is>
          <t>—</t>
        </is>
      </c>
      <c r="AH14" s="42">
        <f>COUNTIF(G14:AF14,"X")</f>
        <v/>
      </c>
      <c r="AI14" s="42" t="inlineStr">
        <is>
          <t>—</t>
        </is>
      </c>
    </row>
    <row r="15">
      <c r="A15" s="39" t="inlineStr">
        <is>
          <t>Tareas Reactivas (Interrupciones)</t>
        </is>
      </c>
      <c r="B15" s="40" t="inlineStr">
        <is>
          <t>N/A</t>
        </is>
      </c>
      <c r="C15" s="41" t="inlineStr">
        <is>
          <t>Mandar mensajes a Chips Jasper</t>
        </is>
      </c>
      <c r="D15" s="42" t="inlineStr">
        <is>
          <t>IntraDiario</t>
        </is>
      </c>
      <c r="E15" s="42" t="inlineStr">
        <is>
          <t>A confirmar</t>
        </is>
      </c>
      <c r="F15" s="43" t="inlineStr">
        <is>
          <t>Cualquier día (reactiva)</t>
        </is>
      </c>
      <c r="G15" s="46" t="n"/>
      <c r="H15" s="46" t="n"/>
      <c r="I15" s="46" t="n"/>
      <c r="J15" s="46" t="n"/>
      <c r="K15" s="46" t="n"/>
      <c r="L15" s="46" t="n"/>
      <c r="M15" s="46" t="n"/>
      <c r="N15" s="46" t="n"/>
      <c r="O15" s="46" t="n"/>
      <c r="P15" s="46" t="n"/>
      <c r="Q15" s="46" t="n"/>
      <c r="R15" s="46" t="n"/>
      <c r="S15" s="46" t="n"/>
      <c r="T15" s="46" t="n"/>
      <c r="U15" s="46" t="n"/>
      <c r="V15" s="46" t="n"/>
      <c r="W15" s="46" t="n"/>
      <c r="X15" s="46" t="n"/>
      <c r="Y15" s="46" t="n"/>
      <c r="Z15" s="46" t="n"/>
      <c r="AA15" s="46" t="n"/>
      <c r="AB15" s="46" t="n"/>
      <c r="AC15" s="46" t="n"/>
      <c r="AD15" s="46" t="n"/>
      <c r="AE15" s="46" t="n"/>
      <c r="AF15" s="46" t="n"/>
      <c r="AG15" s="42" t="inlineStr">
        <is>
          <t>—</t>
        </is>
      </c>
      <c r="AH15" s="42">
        <f>COUNTIF(G15:AF15,"X")</f>
        <v/>
      </c>
      <c r="AI15" s="42" t="inlineStr">
        <is>
          <t>—</t>
        </is>
      </c>
    </row>
    <row r="16">
      <c r="A16" s="39" t="inlineStr">
        <is>
          <t>Tareas Reactivas (Interrupciones)</t>
        </is>
      </c>
      <c r="B16" s="40" t="inlineStr">
        <is>
          <t>N/A</t>
        </is>
      </c>
      <c r="C16" s="41" t="inlineStr">
        <is>
          <t>Informar robo por Telegram</t>
        </is>
      </c>
      <c r="D16" s="42" t="inlineStr">
        <is>
          <t>IntraDiario</t>
        </is>
      </c>
      <c r="E16" s="42" t="inlineStr">
        <is>
          <t>A confirmar</t>
        </is>
      </c>
      <c r="F16" s="43" t="inlineStr">
        <is>
          <t>Cualquier día (reactiva)</t>
        </is>
      </c>
      <c r="G16" s="46" t="n"/>
      <c r="H16" s="46" t="n"/>
      <c r="I16" s="46" t="n"/>
      <c r="J16" s="46" t="n"/>
      <c r="K16" s="46" t="n"/>
      <c r="L16" s="46" t="n"/>
      <c r="M16" s="46" t="n"/>
      <c r="N16" s="46" t="n"/>
      <c r="O16" s="46" t="n"/>
      <c r="P16" s="46" t="n"/>
      <c r="Q16" s="46" t="n"/>
      <c r="R16" s="46" t="n"/>
      <c r="S16" s="46" t="n"/>
      <c r="T16" s="46" t="n"/>
      <c r="U16" s="46" t="n"/>
      <c r="V16" s="46" t="n"/>
      <c r="W16" s="46" t="n"/>
      <c r="X16" s="46" t="n"/>
      <c r="Y16" s="46" t="n"/>
      <c r="Z16" s="46" t="n"/>
      <c r="AA16" s="46" t="n"/>
      <c r="AB16" s="46" t="n"/>
      <c r="AC16" s="46" t="n"/>
      <c r="AD16" s="46" t="n"/>
      <c r="AE16" s="46" t="n"/>
      <c r="AF16" s="46" t="n"/>
      <c r="AG16" s="42" t="inlineStr">
        <is>
          <t>—</t>
        </is>
      </c>
      <c r="AH16" s="42">
        <f>COUNTIF(G16:AF16,"X")</f>
        <v/>
      </c>
      <c r="AI16" s="42" t="inlineStr">
        <is>
          <t>—</t>
        </is>
      </c>
    </row>
    <row r="17">
      <c r="A17" s="39" t="inlineStr">
        <is>
          <t>Tareas Reactivas (Interrupciones)</t>
        </is>
      </c>
      <c r="B17" s="40" t="inlineStr">
        <is>
          <t>N/A</t>
        </is>
      </c>
      <c r="C17" s="41" t="inlineStr">
        <is>
          <t>Atender llamadas de clientes (celular)</t>
        </is>
      </c>
      <c r="D17" s="42" t="inlineStr">
        <is>
          <t>IntraDiario</t>
        </is>
      </c>
      <c r="E17" s="42" t="inlineStr">
        <is>
          <t>A confirmar</t>
        </is>
      </c>
      <c r="F17" s="43" t="inlineStr">
        <is>
          <t>Cualquier día (reactiva)</t>
        </is>
      </c>
      <c r="G17" s="46" t="n"/>
      <c r="H17" s="46" t="n"/>
      <c r="I17" s="46" t="n"/>
      <c r="J17" s="46" t="n"/>
      <c r="K17" s="46" t="n"/>
      <c r="L17" s="46" t="n"/>
      <c r="M17" s="46" t="n"/>
      <c r="N17" s="46" t="n"/>
      <c r="O17" s="46" t="n"/>
      <c r="P17" s="46" t="n"/>
      <c r="Q17" s="46" t="n"/>
      <c r="R17" s="46" t="n"/>
      <c r="S17" s="46" t="n"/>
      <c r="T17" s="46" t="n"/>
      <c r="U17" s="46" t="n"/>
      <c r="V17" s="46" t="n"/>
      <c r="W17" s="46" t="n"/>
      <c r="X17" s="46" t="n"/>
      <c r="Y17" s="46" t="n"/>
      <c r="Z17" s="46" t="n"/>
      <c r="AA17" s="46" t="n"/>
      <c r="AB17" s="46" t="n"/>
      <c r="AC17" s="46" t="n"/>
      <c r="AD17" s="46" t="n"/>
      <c r="AE17" s="46" t="n"/>
      <c r="AF17" s="46" t="n"/>
      <c r="AG17" s="42" t="inlineStr">
        <is>
          <t>—</t>
        </is>
      </c>
      <c r="AH17" s="42">
        <f>COUNTIF(G17:AF17,"X")</f>
        <v/>
      </c>
      <c r="AI17" s="42" t="inlineStr">
        <is>
          <t>—</t>
        </is>
      </c>
    </row>
    <row r="18">
      <c r="A18" s="39" t="inlineStr">
        <is>
          <t>Tareas Reactivas (Interrupciones)</t>
        </is>
      </c>
      <c r="B18" s="40" t="inlineStr">
        <is>
          <t>N/A</t>
        </is>
      </c>
      <c r="C18" s="41" t="inlineStr">
        <is>
          <t>Carga de Servicio Tecnico (coordinacion)</t>
        </is>
      </c>
      <c r="D18" s="42" t="inlineStr">
        <is>
          <t>Diario</t>
        </is>
      </c>
      <c r="E18" s="42" t="inlineStr">
        <is>
          <t>A confirmar</t>
        </is>
      </c>
      <c r="F18" s="43" t="inlineStr">
        <is>
          <t>Fija</t>
        </is>
      </c>
      <c r="G18" s="45" t="n"/>
      <c r="H18" s="45" t="n"/>
      <c r="I18" s="45" t="n"/>
      <c r="J18" s="45" t="n"/>
      <c r="K18" s="45" t="n"/>
      <c r="L18" s="45" t="n"/>
      <c r="M18" s="45" t="n"/>
      <c r="N18" s="45" t="n"/>
      <c r="O18" s="45" t="n"/>
      <c r="P18" s="45" t="n"/>
      <c r="Q18" s="45" t="n"/>
      <c r="R18" s="45" t="n"/>
      <c r="S18" s="45" t="n"/>
      <c r="T18" s="45" t="n"/>
      <c r="U18" s="45" t="n"/>
      <c r="V18" s="45" t="n"/>
      <c r="W18" s="45" t="n"/>
      <c r="X18" s="45" t="n"/>
      <c r="Y18" s="45" t="n"/>
      <c r="Z18" s="45" t="n"/>
      <c r="AA18" s="45" t="n"/>
      <c r="AB18" s="45" t="n"/>
      <c r="AC18" s="45" t="n"/>
      <c r="AD18" s="45" t="n"/>
      <c r="AE18" s="45" t="n"/>
      <c r="AF18" s="45" t="n"/>
      <c r="AG18" s="42" t="inlineStr">
        <is>
          <t>—</t>
        </is>
      </c>
      <c r="AH18" s="42">
        <f>COUNTIF(G18:AF18,"X")</f>
        <v/>
      </c>
      <c r="AI18" s="42" t="inlineStr">
        <is>
          <t>—</t>
        </is>
      </c>
    </row>
    <row r="19">
      <c r="A19" s="37" t="inlineStr">
        <is>
          <t>Administracion General (AB)</t>
        </is>
      </c>
      <c r="B19" s="38" t="n"/>
      <c r="C19" s="38" t="n"/>
      <c r="D19" s="38" t="n"/>
      <c r="E19" s="38" t="n"/>
      <c r="F19" s="38" t="n"/>
      <c r="G19" s="38" t="n"/>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38" t="n"/>
      <c r="AC19" s="38" t="n"/>
      <c r="AD19" s="38" t="n"/>
      <c r="AE19" s="38" t="n"/>
      <c r="AF19" s="38" t="n"/>
      <c r="AG19" s="38" t="n"/>
      <c r="AH19" s="38" t="n"/>
      <c r="AI19" s="38" t="n"/>
    </row>
    <row r="20">
      <c r="A20" s="39" t="inlineStr">
        <is>
          <t>Administracion General (AB)</t>
        </is>
      </c>
      <c r="B20" s="40" t="inlineStr">
        <is>
          <t>N/A</t>
        </is>
      </c>
      <c r="C20" s="41" t="inlineStr">
        <is>
          <t>Actualizacion de Datacenter / servidores</t>
        </is>
      </c>
      <c r="D20" s="42" t="inlineStr">
        <is>
          <t>Mensual</t>
        </is>
      </c>
      <c r="E20" s="42" t="inlineStr">
        <is>
          <t>A confirmar</t>
        </is>
      </c>
      <c r="F20" s="43" t="inlineStr">
        <is>
          <t>Fija</t>
        </is>
      </c>
      <c r="G20" s="45" t="n"/>
      <c r="H20" s="44" t="n"/>
      <c r="I20" s="44" t="n"/>
      <c r="J20" s="44" t="n"/>
      <c r="K20" s="44" t="n"/>
      <c r="L20" s="44" t="n"/>
      <c r="M20" s="44" t="n"/>
      <c r="N20" s="44" t="n"/>
      <c r="O20" s="44" t="n"/>
      <c r="P20" s="44" t="n"/>
      <c r="Q20" s="44" t="n"/>
      <c r="R20" s="44" t="n"/>
      <c r="S20" s="44" t="n"/>
      <c r="T20" s="44" t="n"/>
      <c r="U20" s="44" t="n"/>
      <c r="V20" s="44" t="n"/>
      <c r="W20" s="44" t="n"/>
      <c r="X20" s="44" t="n"/>
      <c r="Y20" s="44" t="n"/>
      <c r="Z20" s="44" t="n"/>
      <c r="AA20" s="44" t="n"/>
      <c r="AB20" s="44" t="n"/>
      <c r="AC20" s="44" t="n"/>
      <c r="AD20" s="44" t="n"/>
      <c r="AE20" s="44" t="n"/>
      <c r="AF20" s="44" t="n"/>
      <c r="AG20" s="42" t="inlineStr">
        <is>
          <t>—</t>
        </is>
      </c>
      <c r="AH20" s="42">
        <f>COUNTIF(G20:AF20,"X")</f>
        <v/>
      </c>
      <c r="AI20" s="42" t="inlineStr">
        <is>
          <t>—</t>
        </is>
      </c>
    </row>
    <row r="21">
      <c r="A21" s="37" t="inlineStr">
        <is>
          <t>Proceso de Cargas (nombre tentativo)</t>
        </is>
      </c>
      <c r="B21" s="38" t="n"/>
      <c r="C21" s="38" t="n"/>
      <c r="D21" s="38" t="n"/>
      <c r="E21" s="38" t="n"/>
      <c r="F21" s="38" t="n"/>
      <c r="G21" s="38" t="n"/>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38" t="n"/>
      <c r="AC21" s="38" t="n"/>
      <c r="AD21" s="38" t="n"/>
      <c r="AE21" s="38" t="n"/>
      <c r="AF21" s="38" t="n"/>
      <c r="AG21" s="38" t="n"/>
      <c r="AH21" s="38" t="n"/>
      <c r="AI21" s="38" t="n"/>
    </row>
    <row r="22">
      <c r="A22" s="39" t="inlineStr">
        <is>
          <t>Proceso de Cargas (nombre tentativo)</t>
        </is>
      </c>
      <c r="B22" s="40" t="inlineStr">
        <is>
          <t>Planificacion y Carga de la Hoja de Procesos Diarios</t>
        </is>
      </c>
      <c r="C22" s="41" t="inlineStr">
        <is>
          <t>Rehacer hoja de Procesos Diarios</t>
        </is>
      </c>
      <c r="D22" s="42" t="inlineStr">
        <is>
          <t>Mensual</t>
        </is>
      </c>
      <c r="E22" s="42" t="n">
        <v>60</v>
      </c>
      <c r="F22" s="43" t="inlineStr">
        <is>
          <t>Fija</t>
        </is>
      </c>
      <c r="G22" s="44" t="n"/>
      <c r="H22" s="44" t="n"/>
      <c r="I22" s="44" t="n"/>
      <c r="J22" s="44" t="n"/>
      <c r="K22" s="44" t="n"/>
      <c r="L22" s="44" t="n"/>
      <c r="M22" s="44" t="n"/>
      <c r="N22" s="44" t="n"/>
      <c r="O22" s="44" t="n"/>
      <c r="P22" s="44" t="n"/>
      <c r="Q22" s="44" t="n"/>
      <c r="R22" s="44" t="n"/>
      <c r="S22" s="44" t="n"/>
      <c r="T22" s="44" t="n"/>
      <c r="U22" s="44" t="n"/>
      <c r="V22" s="44" t="n"/>
      <c r="W22" s="44" t="n"/>
      <c r="X22" s="44" t="n"/>
      <c r="Y22" s="44" t="n"/>
      <c r="Z22" s="44" t="n"/>
      <c r="AA22" s="44" t="n"/>
      <c r="AB22" s="44" t="n"/>
      <c r="AC22" s="44" t="n"/>
      <c r="AD22" s="44" t="n"/>
      <c r="AE22" s="44" t="n"/>
      <c r="AF22" s="45" t="n"/>
      <c r="AG22" s="42" t="n">
        <v>1</v>
      </c>
      <c r="AH22" s="42">
        <f>COUNTIF(G22:AF22,"X")*60.0/60</f>
        <v/>
      </c>
      <c r="AI22" s="42">
        <f>AH22-AG22</f>
        <v/>
      </c>
    </row>
    <row r="23">
      <c r="A23" s="39" t="inlineStr">
        <is>
          <t>Proceso de Cargas (nombre tentativo)</t>
        </is>
      </c>
      <c r="B23" s="40" t="inlineStr">
        <is>
          <t>Planificacion y Carga de la Hoja de Procesos Diarios</t>
        </is>
      </c>
      <c r="C23" s="41" t="inlineStr">
        <is>
          <t>Rehacer hoja de Procesos Diarios</t>
        </is>
      </c>
      <c r="D23" s="42" t="inlineStr">
        <is>
          <t>Mensual</t>
        </is>
      </c>
      <c r="E23" s="42" t="inlineStr">
        <is>
          <t>A confirmar</t>
        </is>
      </c>
      <c r="F23" s="43" t="inlineStr">
        <is>
          <t>Fija</t>
        </is>
      </c>
      <c r="G23" s="45" t="n"/>
      <c r="H23" s="44" t="n"/>
      <c r="I23" s="44" t="n"/>
      <c r="J23" s="44" t="n"/>
      <c r="K23" s="44" t="n"/>
      <c r="L23" s="44" t="n"/>
      <c r="M23" s="44" t="n"/>
      <c r="N23" s="44" t="n"/>
      <c r="O23" s="44" t="n"/>
      <c r="P23" s="44" t="n"/>
      <c r="Q23" s="44" t="n"/>
      <c r="R23" s="44" t="n"/>
      <c r="S23" s="44" t="n"/>
      <c r="T23" s="44" t="n"/>
      <c r="U23" s="44" t="n"/>
      <c r="V23" s="44" t="n"/>
      <c r="W23" s="44" t="n"/>
      <c r="X23" s="44" t="n"/>
      <c r="Y23" s="44" t="n"/>
      <c r="Z23" s="44" t="n"/>
      <c r="AA23" s="44" t="n"/>
      <c r="AB23" s="44" t="n"/>
      <c r="AC23" s="44" t="n"/>
      <c r="AD23" s="44" t="n"/>
      <c r="AE23" s="44" t="n"/>
      <c r="AF23" s="44" t="n"/>
      <c r="AG23" s="42" t="inlineStr">
        <is>
          <t>—</t>
        </is>
      </c>
      <c r="AH23" s="42">
        <f>COUNTIF(G23:AF23,"X")</f>
        <v/>
      </c>
      <c r="AI23" s="42" t="inlineStr">
        <is>
          <t>—</t>
        </is>
      </c>
    </row>
    <row r="24">
      <c r="A24" s="39" t="inlineStr">
        <is>
          <t>Proceso de Cargas (nombre tentativo)</t>
        </is>
      </c>
      <c r="B24" s="40" t="inlineStr">
        <is>
          <t>Planificacion y Carga de la Hoja de Procesos Diarios</t>
        </is>
      </c>
      <c r="C24" s="41" t="inlineStr">
        <is>
          <t>Completar carga de Procesos Diarios</t>
        </is>
      </c>
      <c r="D24" s="42" t="inlineStr">
        <is>
          <t>Diario</t>
        </is>
      </c>
      <c r="E24" s="42" t="n">
        <v>20</v>
      </c>
      <c r="F24" s="43" t="inlineStr">
        <is>
          <t>Fija</t>
        </is>
      </c>
      <c r="G24" s="45" t="n"/>
      <c r="H24" s="45" t="n"/>
      <c r="I24" s="45" t="n"/>
      <c r="J24" s="45" t="n"/>
      <c r="K24" s="45" t="n"/>
      <c r="L24" s="45" t="n"/>
      <c r="M24" s="45" t="n"/>
      <c r="N24" s="45" t="n"/>
      <c r="O24" s="45" t="n"/>
      <c r="P24" s="45" t="n"/>
      <c r="Q24" s="45" t="n"/>
      <c r="R24" s="45" t="n"/>
      <c r="S24" s="45" t="n"/>
      <c r="T24" s="45" t="n"/>
      <c r="U24" s="45" t="n"/>
      <c r="V24" s="45" t="n"/>
      <c r="W24" s="45" t="n"/>
      <c r="X24" s="45" t="n"/>
      <c r="Y24" s="45" t="n"/>
      <c r="Z24" s="45" t="n"/>
      <c r="AA24" s="45" t="n"/>
      <c r="AB24" s="45" t="n"/>
      <c r="AC24" s="45" t="n"/>
      <c r="AD24" s="45" t="n"/>
      <c r="AE24" s="45" t="n"/>
      <c r="AF24" s="45" t="n"/>
      <c r="AG24" s="42" t="n">
        <v>8.67</v>
      </c>
      <c r="AH24" s="42">
        <f>COUNTIF(G24:AF24,"X")*20.0/60</f>
        <v/>
      </c>
      <c r="AI24" s="42">
        <f>AH24-AG24</f>
        <v/>
      </c>
    </row>
    <row r="25">
      <c r="A25" s="39" t="inlineStr">
        <is>
          <t>Proceso de Cargas (nombre tentativo)</t>
        </is>
      </c>
      <c r="B25" s="40" t="inlineStr">
        <is>
          <t>Planificacion y Carga de la Hoja de Procesos Diarios</t>
        </is>
      </c>
      <c r="C25" s="41" t="inlineStr">
        <is>
          <t>Completar carga de Procesos Diarios</t>
        </is>
      </c>
      <c r="D25" s="42" t="inlineStr">
        <is>
          <t>Diario</t>
        </is>
      </c>
      <c r="E25" s="42" t="n">
        <v>5</v>
      </c>
      <c r="F25" s="43" t="inlineStr">
        <is>
          <t>Fija</t>
        </is>
      </c>
      <c r="G25" s="45" t="n"/>
      <c r="H25" s="45" t="n"/>
      <c r="I25" s="45" t="n"/>
      <c r="J25" s="45" t="n"/>
      <c r="K25" s="45" t="n"/>
      <c r="L25" s="45" t="n"/>
      <c r="M25" s="45" t="n"/>
      <c r="N25" s="45" t="n"/>
      <c r="O25" s="45" t="n"/>
      <c r="P25" s="45" t="n"/>
      <c r="Q25" s="45" t="n"/>
      <c r="R25" s="45" t="n"/>
      <c r="S25" s="45" t="n"/>
      <c r="T25" s="45" t="n"/>
      <c r="U25" s="45" t="n"/>
      <c r="V25" s="45" t="n"/>
      <c r="W25" s="45" t="n"/>
      <c r="X25" s="45" t="n"/>
      <c r="Y25" s="45" t="n"/>
      <c r="Z25" s="45" t="n"/>
      <c r="AA25" s="45" t="n"/>
      <c r="AB25" s="45" t="n"/>
      <c r="AC25" s="45" t="n"/>
      <c r="AD25" s="45" t="n"/>
      <c r="AE25" s="45" t="n"/>
      <c r="AF25" s="45" t="n"/>
      <c r="AG25" s="42" t="n">
        <v>2.17</v>
      </c>
      <c r="AH25" s="42">
        <f>COUNTIF(G25:AF25,"X")*5.0/60</f>
        <v/>
      </c>
      <c r="AI25" s="42">
        <f>AH25-AG25</f>
        <v/>
      </c>
    </row>
    <row r="26">
      <c r="A26" s="37" t="inlineStr">
        <is>
          <t>Sin Proceso Asignado (a un costado)</t>
        </is>
      </c>
      <c r="B26" s="38" t="n"/>
      <c r="C26" s="38" t="n"/>
      <c r="D26" s="38" t="n"/>
      <c r="E26" s="38" t="n"/>
      <c r="F26" s="38" t="n"/>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38" t="n"/>
      <c r="AC26" s="38" t="n"/>
      <c r="AD26" s="38" t="n"/>
      <c r="AE26" s="38" t="n"/>
      <c r="AF26" s="38" t="n"/>
      <c r="AG26" s="38" t="n"/>
      <c r="AH26" s="38" t="n"/>
      <c r="AI26" s="38" t="n"/>
    </row>
    <row r="27">
      <c r="A27" s="39" t="inlineStr">
        <is>
          <t>Sin Proceso Asignado (a un costado)</t>
        </is>
      </c>
      <c r="B27" s="40" t="inlineStr">
        <is>
          <t>N/A</t>
        </is>
      </c>
      <c r="C27" s="41" t="inlineStr">
        <is>
          <t>Subir publicidad en WhatsApp</t>
        </is>
      </c>
      <c r="D27" s="42" t="inlineStr">
        <is>
          <t>Diario</t>
        </is>
      </c>
      <c r="E27" s="42" t="n">
        <v>5</v>
      </c>
      <c r="F27" s="43" t="inlineStr">
        <is>
          <t>Fija</t>
        </is>
      </c>
      <c r="G27" s="45" t="n"/>
      <c r="H27" s="45" t="n"/>
      <c r="I27" s="45" t="n"/>
      <c r="J27" s="45" t="n"/>
      <c r="K27" s="45" t="n"/>
      <c r="L27" s="45" t="n"/>
      <c r="M27" s="45" t="n"/>
      <c r="N27" s="45" t="n"/>
      <c r="O27" s="45" t="n"/>
      <c r="P27" s="45" t="n"/>
      <c r="Q27" s="45" t="n"/>
      <c r="R27" s="45" t="n"/>
      <c r="S27" s="45" t="n"/>
      <c r="T27" s="45" t="n"/>
      <c r="U27" s="45" t="n"/>
      <c r="V27" s="45" t="n"/>
      <c r="W27" s="45" t="n"/>
      <c r="X27" s="45" t="n"/>
      <c r="Y27" s="45" t="n"/>
      <c r="Z27" s="45" t="n"/>
      <c r="AA27" s="45" t="n"/>
      <c r="AB27" s="45" t="n"/>
      <c r="AC27" s="45" t="n"/>
      <c r="AD27" s="45" t="n"/>
      <c r="AE27" s="45" t="n"/>
      <c r="AF27" s="45" t="n"/>
      <c r="AG27" s="42" t="n">
        <v>2.17</v>
      </c>
      <c r="AH27" s="42">
        <f>COUNTIF(G27:AF27,"X")*5.0/60</f>
        <v/>
      </c>
      <c r="AI27" s="42">
        <f>AH27-AG27</f>
        <v/>
      </c>
    </row>
    <row r="28">
      <c r="A28" s="39" t="inlineStr">
        <is>
          <t>Sin Proceso Asignado (a un costado)</t>
        </is>
      </c>
      <c r="B28" s="40" t="inlineStr">
        <is>
          <t>N/A</t>
        </is>
      </c>
      <c r="C28" s="41" t="inlineStr">
        <is>
          <t>Subir publicidad en WhatsApp</t>
        </is>
      </c>
      <c r="D28" s="42" t="inlineStr">
        <is>
          <t>Diario</t>
        </is>
      </c>
      <c r="E28" s="42" t="n">
        <v>5</v>
      </c>
      <c r="F28" s="43" t="inlineStr">
        <is>
          <t>Fija</t>
        </is>
      </c>
      <c r="G28" s="45" t="n"/>
      <c r="H28" s="45" t="n"/>
      <c r="I28" s="45" t="n"/>
      <c r="J28" s="45" t="n"/>
      <c r="K28" s="45" t="n"/>
      <c r="L28" s="45" t="n"/>
      <c r="M28" s="45" t="n"/>
      <c r="N28" s="45" t="n"/>
      <c r="O28" s="45" t="n"/>
      <c r="P28" s="45" t="n"/>
      <c r="Q28" s="45" t="n"/>
      <c r="R28" s="45" t="n"/>
      <c r="S28" s="45" t="n"/>
      <c r="T28" s="45" t="n"/>
      <c r="U28" s="45" t="n"/>
      <c r="V28" s="45" t="n"/>
      <c r="W28" s="45" t="n"/>
      <c r="X28" s="45" t="n"/>
      <c r="Y28" s="45" t="n"/>
      <c r="Z28" s="45" t="n"/>
      <c r="AA28" s="45" t="n"/>
      <c r="AB28" s="45" t="n"/>
      <c r="AC28" s="45" t="n"/>
      <c r="AD28" s="45" t="n"/>
      <c r="AE28" s="45" t="n"/>
      <c r="AF28" s="45" t="n"/>
      <c r="AG28" s="42" t="n">
        <v>2.17</v>
      </c>
      <c r="AH28" s="42">
        <f>COUNTIF(G28:AF28,"X")*5.0/60</f>
        <v/>
      </c>
      <c r="AI28" s="42">
        <f>AH28-AG28</f>
        <v/>
      </c>
    </row>
    <row r="29">
      <c r="A29" s="39" t="inlineStr">
        <is>
          <t>Sin Proceso Asignado (a un costado)</t>
        </is>
      </c>
      <c r="B29" s="40" t="inlineStr">
        <is>
          <t>N/A</t>
        </is>
      </c>
      <c r="C29" s="41" t="inlineStr">
        <is>
          <t>Ordenar escritorio</t>
        </is>
      </c>
      <c r="D29" s="42" t="inlineStr">
        <is>
          <t>Diario</t>
        </is>
      </c>
      <c r="E29" s="42" t="n">
        <v>10</v>
      </c>
      <c r="F29" s="43" t="inlineStr">
        <is>
          <t>Fija</t>
        </is>
      </c>
      <c r="G29" s="45" t="n"/>
      <c r="H29" s="45" t="n"/>
      <c r="I29" s="45" t="n"/>
      <c r="J29" s="45" t="n"/>
      <c r="K29" s="45" t="n"/>
      <c r="L29" s="45" t="n"/>
      <c r="M29" s="45" t="n"/>
      <c r="N29" s="45" t="n"/>
      <c r="O29" s="45" t="n"/>
      <c r="P29" s="45" t="n"/>
      <c r="Q29" s="45" t="n"/>
      <c r="R29" s="45" t="n"/>
      <c r="S29" s="45" t="n"/>
      <c r="T29" s="45" t="n"/>
      <c r="U29" s="45" t="n"/>
      <c r="V29" s="45" t="n"/>
      <c r="W29" s="45" t="n"/>
      <c r="X29" s="45" t="n"/>
      <c r="Y29" s="45" t="n"/>
      <c r="Z29" s="45" t="n"/>
      <c r="AA29" s="45" t="n"/>
      <c r="AB29" s="45" t="n"/>
      <c r="AC29" s="45" t="n"/>
      <c r="AD29" s="45" t="n"/>
      <c r="AE29" s="45" t="n"/>
      <c r="AF29" s="45" t="n"/>
      <c r="AG29" s="42" t="n">
        <v>4.33</v>
      </c>
      <c r="AH29" s="42">
        <f>COUNTIF(G29:AF29,"X")*10.0/60</f>
        <v/>
      </c>
      <c r="AI29" s="42">
        <f>AH29-AG29</f>
        <v/>
      </c>
    </row>
    <row r="30">
      <c r="A30" s="39" t="inlineStr">
        <is>
          <t>Sin Proceso Asignado (a un costado)</t>
        </is>
      </c>
      <c r="B30" s="40" t="inlineStr">
        <is>
          <t>N/A</t>
        </is>
      </c>
      <c r="C30" s="41" t="inlineStr">
        <is>
          <t>Ordenar escritorio</t>
        </is>
      </c>
      <c r="D30" s="42" t="inlineStr">
        <is>
          <t>Diario</t>
        </is>
      </c>
      <c r="E30" s="42" t="n">
        <v>10</v>
      </c>
      <c r="F30" s="43" t="inlineStr">
        <is>
          <t>Fija</t>
        </is>
      </c>
      <c r="G30" s="45" t="n"/>
      <c r="H30" s="45" t="n"/>
      <c r="I30" s="45" t="n"/>
      <c r="J30" s="45" t="n"/>
      <c r="K30" s="45" t="n"/>
      <c r="L30" s="45" t="n"/>
      <c r="M30" s="45" t="n"/>
      <c r="N30" s="45" t="n"/>
      <c r="O30" s="45" t="n"/>
      <c r="P30" s="45" t="n"/>
      <c r="Q30" s="45" t="n"/>
      <c r="R30" s="45" t="n"/>
      <c r="S30" s="45" t="n"/>
      <c r="T30" s="45" t="n"/>
      <c r="U30" s="45" t="n"/>
      <c r="V30" s="45" t="n"/>
      <c r="W30" s="45" t="n"/>
      <c r="X30" s="45" t="n"/>
      <c r="Y30" s="45" t="n"/>
      <c r="Z30" s="45" t="n"/>
      <c r="AA30" s="45" t="n"/>
      <c r="AB30" s="45" t="n"/>
      <c r="AC30" s="45" t="n"/>
      <c r="AD30" s="45" t="n"/>
      <c r="AE30" s="45" t="n"/>
      <c r="AF30" s="45" t="n"/>
      <c r="AG30" s="42" t="n">
        <v>4.33</v>
      </c>
      <c r="AH30" s="42">
        <f>COUNTIF(G30:AF30,"X")*10.0/60</f>
        <v/>
      </c>
      <c r="AI30" s="42">
        <f>AH30-AG30</f>
        <v/>
      </c>
    </row>
    <row r="31">
      <c r="A31" s="39" t="inlineStr">
        <is>
          <t>Sin Proceso Asignado (a un costado)</t>
        </is>
      </c>
      <c r="B31" s="40" t="inlineStr">
        <is>
          <t>N/A</t>
        </is>
      </c>
      <c r="C31" s="41" t="inlineStr">
        <is>
          <t>Preparacion de equipos de instalacion (ST)</t>
        </is>
      </c>
      <c r="D31" s="42" t="inlineStr">
        <is>
          <t>A Demanda</t>
        </is>
      </c>
      <c r="E31" s="42" t="n">
        <v>30</v>
      </c>
      <c r="F31" s="43" t="inlineStr">
        <is>
          <t>Cualquier día (reactiva)</t>
        </is>
      </c>
      <c r="G31" s="46" t="n"/>
      <c r="H31" s="46" t="n"/>
      <c r="I31" s="46" t="n"/>
      <c r="J31" s="46" t="n"/>
      <c r="K31" s="46" t="n"/>
      <c r="L31" s="46" t="n"/>
      <c r="M31" s="46" t="n"/>
      <c r="N31" s="46" t="n"/>
      <c r="O31" s="46" t="n"/>
      <c r="P31" s="46" t="n"/>
      <c r="Q31" s="46" t="n"/>
      <c r="R31" s="46" t="n"/>
      <c r="S31" s="46" t="n"/>
      <c r="T31" s="46" t="n"/>
      <c r="U31" s="46" t="n"/>
      <c r="V31" s="46" t="n"/>
      <c r="W31" s="46" t="n"/>
      <c r="X31" s="46" t="n"/>
      <c r="Y31" s="46" t="n"/>
      <c r="Z31" s="46" t="n"/>
      <c r="AA31" s="46" t="n"/>
      <c r="AB31" s="46" t="n"/>
      <c r="AC31" s="46" t="n"/>
      <c r="AD31" s="46" t="n"/>
      <c r="AE31" s="46" t="n"/>
      <c r="AF31" s="46" t="n"/>
      <c r="AG31" s="42" t="inlineStr">
        <is>
          <t>—</t>
        </is>
      </c>
      <c r="AH31" s="42">
        <f>COUNTIF(G31:AF31,"X")*30.0/60</f>
        <v/>
      </c>
      <c r="AI31" s="42" t="inlineStr">
        <is>
          <t>—</t>
        </is>
      </c>
    </row>
    <row r="32">
      <c r="A32" s="37" t="inlineStr">
        <is>
          <t>Chips (Jueves)</t>
        </is>
      </c>
      <c r="B32" s="38" t="n"/>
      <c r="C32" s="38" t="n"/>
      <c r="D32" s="38" t="n"/>
      <c r="E32" s="38" t="n"/>
      <c r="F32" s="38" t="n"/>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row>
    <row r="33">
      <c r="A33" s="39" t="inlineStr">
        <is>
          <t>Chips</t>
        </is>
      </c>
      <c r="B33" s="40" t="inlineStr">
        <is>
          <t>Bloqueo y Desbloqueo - AXpro</t>
        </is>
      </c>
      <c r="C33" s="41" t="inlineStr">
        <is>
          <t>Bloqueo de equipos AXpro</t>
        </is>
      </c>
      <c r="D33" s="42" t="inlineStr">
        <is>
          <t>Semanal</t>
        </is>
      </c>
      <c r="E33" s="42" t="n">
        <v>30</v>
      </c>
      <c r="F33" s="43" t="inlineStr">
        <is>
          <t>Fija</t>
        </is>
      </c>
      <c r="G33" s="44" t="n"/>
      <c r="H33" s="44" t="n"/>
      <c r="I33" s="44" t="n"/>
      <c r="J33" s="44" t="n"/>
      <c r="K33" s="45" t="n"/>
      <c r="L33" s="44" t="n"/>
      <c r="M33" s="44" t="n"/>
      <c r="N33" s="44" t="n"/>
      <c r="O33" s="44" t="n"/>
      <c r="P33" s="44" t="n"/>
      <c r="Q33" s="45" t="n"/>
      <c r="R33" s="44" t="n"/>
      <c r="S33" s="44" t="n"/>
      <c r="T33" s="44" t="n"/>
      <c r="U33" s="44" t="n"/>
      <c r="V33" s="44" t="n"/>
      <c r="W33" s="45" t="n"/>
      <c r="X33" s="44" t="n"/>
      <c r="Y33" s="44" t="n"/>
      <c r="Z33" s="44" t="n"/>
      <c r="AA33" s="44" t="n"/>
      <c r="AB33" s="44" t="n"/>
      <c r="AC33" s="45" t="n"/>
      <c r="AD33" s="44" t="n"/>
      <c r="AE33" s="44" t="n"/>
      <c r="AF33" s="44" t="n"/>
      <c r="AG33" s="42" t="n">
        <v>2</v>
      </c>
      <c r="AH33" s="42">
        <f>COUNTIF(G33:AF33,"X")*30.0/60</f>
        <v/>
      </c>
      <c r="AI33" s="42">
        <f>AH33-AG33</f>
        <v/>
      </c>
    </row>
    <row r="34">
      <c r="A34" s="39" t="inlineStr">
        <is>
          <t>Chips</t>
        </is>
      </c>
      <c r="B34" s="40" t="inlineStr">
        <is>
          <t>Bloqueo y Desbloqueo - Paradox (remoto)</t>
        </is>
      </c>
      <c r="C34" s="41" t="inlineStr">
        <is>
          <t>Bloqueo de equipos Paradox (PDX, remoto)</t>
        </is>
      </c>
      <c r="D34" s="42" t="inlineStr">
        <is>
          <t>Semanal</t>
        </is>
      </c>
      <c r="E34" s="42" t="n">
        <v>30</v>
      </c>
      <c r="F34" s="43" t="inlineStr">
        <is>
          <t>Fija</t>
        </is>
      </c>
      <c r="G34" s="44" t="n"/>
      <c r="H34" s="44" t="n"/>
      <c r="I34" s="44" t="n"/>
      <c r="J34" s="44" t="n"/>
      <c r="K34" s="45" t="n"/>
      <c r="L34" s="44" t="n"/>
      <c r="M34" s="44" t="n"/>
      <c r="N34" s="44" t="n"/>
      <c r="O34" s="44" t="n"/>
      <c r="P34" s="44" t="n"/>
      <c r="Q34" s="45" t="n"/>
      <c r="R34" s="44" t="n"/>
      <c r="S34" s="44" t="n"/>
      <c r="T34" s="44" t="n"/>
      <c r="U34" s="44" t="n"/>
      <c r="V34" s="44" t="n"/>
      <c r="W34" s="45" t="n"/>
      <c r="X34" s="44" t="n"/>
      <c r="Y34" s="44" t="n"/>
      <c r="Z34" s="44" t="n"/>
      <c r="AA34" s="44" t="n"/>
      <c r="AB34" s="44" t="n"/>
      <c r="AC34" s="45" t="n"/>
      <c r="AD34" s="44" t="n"/>
      <c r="AE34" s="44" t="n"/>
      <c r="AF34" s="44" t="n"/>
      <c r="AG34" s="42" t="n">
        <v>2</v>
      </c>
      <c r="AH34" s="42">
        <f>COUNTIF(G34:AF34,"X")*30.0/60</f>
        <v/>
      </c>
      <c r="AI34" s="42">
        <f>AH34-AG34</f>
        <v/>
      </c>
    </row>
    <row r="35">
      <c r="A35" s="39" t="inlineStr">
        <is>
          <t>Chips</t>
        </is>
      </c>
      <c r="B35" s="40" t="inlineStr">
        <is>
          <t>Bloqueo y Desbloqueo - AXpro</t>
        </is>
      </c>
      <c r="C35" s="41" t="inlineStr">
        <is>
          <t>Desbloqueo de equipos AXpro</t>
        </is>
      </c>
      <c r="D35" s="42" t="inlineStr">
        <is>
          <t>Semanal</t>
        </is>
      </c>
      <c r="E35" s="42" t="n">
        <v>30</v>
      </c>
      <c r="F35" s="43" t="inlineStr">
        <is>
          <t>Fija</t>
        </is>
      </c>
      <c r="G35" s="44" t="n"/>
      <c r="H35" s="44" t="n"/>
      <c r="I35" s="44" t="n"/>
      <c r="J35" s="44" t="n"/>
      <c r="K35" s="45" t="n"/>
      <c r="L35" s="44" t="n"/>
      <c r="M35" s="44" t="n"/>
      <c r="N35" s="44" t="n"/>
      <c r="O35" s="44" t="n"/>
      <c r="P35" s="44" t="n"/>
      <c r="Q35" s="45" t="n"/>
      <c r="R35" s="44" t="n"/>
      <c r="S35" s="44" t="n"/>
      <c r="T35" s="44" t="n"/>
      <c r="U35" s="44" t="n"/>
      <c r="V35" s="44" t="n"/>
      <c r="W35" s="45" t="n"/>
      <c r="X35" s="44" t="n"/>
      <c r="Y35" s="44" t="n"/>
      <c r="Z35" s="44" t="n"/>
      <c r="AA35" s="44" t="n"/>
      <c r="AB35" s="44" t="n"/>
      <c r="AC35" s="45" t="n"/>
      <c r="AD35" s="44" t="n"/>
      <c r="AE35" s="44" t="n"/>
      <c r="AF35" s="44" t="n"/>
      <c r="AG35" s="42" t="n">
        <v>2</v>
      </c>
      <c r="AH35" s="42">
        <f>COUNTIF(G35:AF35,"X")*30.0/60</f>
        <v/>
      </c>
      <c r="AI35" s="42">
        <f>AH35-AG35</f>
        <v/>
      </c>
    </row>
    <row r="36">
      <c r="A36" s="39" t="inlineStr">
        <is>
          <t>Chips</t>
        </is>
      </c>
      <c r="B36" s="40" t="inlineStr">
        <is>
          <t>Bloqueo y Desbloqueo - Paradox (remoto)</t>
        </is>
      </c>
      <c r="C36" s="41" t="inlineStr">
        <is>
          <t>Desbloqueo de equipos Paradox (PDX, remoto)</t>
        </is>
      </c>
      <c r="D36" s="42" t="inlineStr">
        <is>
          <t>Semanal</t>
        </is>
      </c>
      <c r="E36" s="42" t="n">
        <v>30</v>
      </c>
      <c r="F36" s="43" t="inlineStr">
        <is>
          <t>Fija</t>
        </is>
      </c>
      <c r="G36" s="44" t="n"/>
      <c r="H36" s="44" t="n"/>
      <c r="I36" s="44" t="n"/>
      <c r="J36" s="44" t="n"/>
      <c r="K36" s="45" t="n"/>
      <c r="L36" s="44" t="n"/>
      <c r="M36" s="44" t="n"/>
      <c r="N36" s="44" t="n"/>
      <c r="O36" s="44" t="n"/>
      <c r="P36" s="44" t="n"/>
      <c r="Q36" s="45" t="n"/>
      <c r="R36" s="44" t="n"/>
      <c r="S36" s="44" t="n"/>
      <c r="T36" s="44" t="n"/>
      <c r="U36" s="44" t="n"/>
      <c r="V36" s="44" t="n"/>
      <c r="W36" s="45" t="n"/>
      <c r="X36" s="44" t="n"/>
      <c r="Y36" s="44" t="n"/>
      <c r="Z36" s="44" t="n"/>
      <c r="AA36" s="44" t="n"/>
      <c r="AB36" s="44" t="n"/>
      <c r="AC36" s="45" t="n"/>
      <c r="AD36" s="44" t="n"/>
      <c r="AE36" s="44" t="n"/>
      <c r="AF36" s="44" t="n"/>
      <c r="AG36" s="42" t="n">
        <v>2</v>
      </c>
      <c r="AH36" s="42">
        <f>COUNTIF(G36:AF36,"X")*30.0/60</f>
        <v/>
      </c>
      <c r="AI36" s="42">
        <f>AH36-AG36</f>
        <v/>
      </c>
    </row>
    <row r="37">
      <c r="A37" s="37" t="inlineStr">
        <is>
          <t>Falla de Tests (Lunes)</t>
        </is>
      </c>
      <c r="B37" s="38" t="n"/>
      <c r="C37" s="38" t="n"/>
      <c r="D37" s="38" t="n"/>
      <c r="E37" s="38" t="n"/>
      <c r="F37" s="38" t="n"/>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row>
    <row r="38">
      <c r="A38" s="39" t="inlineStr">
        <is>
          <t>Falla de Tests</t>
        </is>
      </c>
      <c r="B38" s="40" t="inlineStr">
        <is>
          <t>Instructivo General (documento vinculado)</t>
        </is>
      </c>
      <c r="C38" s="41" t="inlineStr">
        <is>
          <t>Falla de Test - procedimiento general</t>
        </is>
      </c>
      <c r="D38" s="42" t="inlineStr">
        <is>
          <t>Semanal</t>
        </is>
      </c>
      <c r="E38" s="42" t="n">
        <v>30</v>
      </c>
      <c r="F38" s="43" t="inlineStr">
        <is>
          <t>Fija</t>
        </is>
      </c>
      <c r="G38" s="44" t="n"/>
      <c r="H38" s="45" t="n"/>
      <c r="I38" s="44" t="n"/>
      <c r="J38" s="44" t="n"/>
      <c r="K38" s="44" t="n"/>
      <c r="L38" s="44" t="n"/>
      <c r="M38" s="44" t="n"/>
      <c r="N38" s="45" t="n"/>
      <c r="O38" s="44" t="n"/>
      <c r="P38" s="44" t="n"/>
      <c r="Q38" s="44" t="n"/>
      <c r="R38" s="44" t="n"/>
      <c r="S38" s="44" t="n"/>
      <c r="T38" s="45" t="n"/>
      <c r="U38" s="44" t="n"/>
      <c r="V38" s="44" t="n"/>
      <c r="W38" s="44" t="n"/>
      <c r="X38" s="44" t="n"/>
      <c r="Y38" s="44" t="n"/>
      <c r="Z38" s="45" t="n"/>
      <c r="AA38" s="44" t="n"/>
      <c r="AB38" s="44" t="n"/>
      <c r="AC38" s="44" t="n"/>
      <c r="AD38" s="44" t="n"/>
      <c r="AE38" s="44" t="n"/>
      <c r="AF38" s="45" t="n"/>
      <c r="AG38" s="42" t="n">
        <v>2.5</v>
      </c>
      <c r="AH38" s="42">
        <f>COUNTIF(G38:AF38,"X")*30.0/60</f>
        <v/>
      </c>
      <c r="AI38" s="42">
        <f>AH38-AG38</f>
        <v/>
      </c>
    </row>
    <row r="39">
      <c r="A39" s="39" t="inlineStr">
        <is>
          <t>Falla de Tests</t>
        </is>
      </c>
      <c r="B39" s="40" t="inlineStr">
        <is>
          <t>Envio de Mail</t>
        </is>
      </c>
      <c r="C39" s="41" t="inlineStr">
        <is>
          <t>Pendiente de cargar (gap)</t>
        </is>
      </c>
      <c r="D39" s="42" t="inlineStr">
        <is>
          <t>A confirmar</t>
        </is>
      </c>
      <c r="E39" s="42" t="inlineStr">
        <is>
          <t>A confirmar</t>
        </is>
      </c>
      <c r="F39" s="43" t="inlineStr">
        <is>
          <t>No aplica este mes</t>
        </is>
      </c>
      <c r="G39" s="44" t="n"/>
      <c r="H39" s="44" t="n"/>
      <c r="I39" s="44" t="n"/>
      <c r="J39" s="44" t="n"/>
      <c r="K39" s="44" t="n"/>
      <c r="L39" s="44" t="n"/>
      <c r="M39" s="44" t="n"/>
      <c r="N39" s="44" t="n"/>
      <c r="O39" s="44" t="n"/>
      <c r="P39" s="44" t="n"/>
      <c r="Q39" s="44" t="n"/>
      <c r="R39" s="44" t="n"/>
      <c r="S39" s="44" t="n"/>
      <c r="T39" s="44" t="n"/>
      <c r="U39" s="44" t="n"/>
      <c r="V39" s="44" t="n"/>
      <c r="W39" s="44" t="n"/>
      <c r="X39" s="44" t="n"/>
      <c r="Y39" s="44" t="n"/>
      <c r="Z39" s="44" t="n"/>
      <c r="AA39" s="44" t="n"/>
      <c r="AB39" s="44" t="n"/>
      <c r="AC39" s="44" t="n"/>
      <c r="AD39" s="44" t="n"/>
      <c r="AE39" s="44" t="n"/>
      <c r="AF39" s="44" t="n"/>
      <c r="AG39" s="42" t="inlineStr">
        <is>
          <t>—</t>
        </is>
      </c>
      <c r="AH39" s="42">
        <f>COUNTIF(G39:AF39,"X")</f>
        <v/>
      </c>
      <c r="AI39" s="42" t="inlineStr">
        <is>
          <t>—</t>
        </is>
      </c>
    </row>
    <row r="40">
      <c r="A40" s="39" t="inlineStr">
        <is>
          <t>Falla de Tests</t>
        </is>
      </c>
      <c r="B40" s="40" t="inlineStr">
        <is>
          <t>Llamado a Clientes</t>
        </is>
      </c>
      <c r="C40" s="41" t="inlineStr">
        <is>
          <t>Pendiente de cargar (gap)</t>
        </is>
      </c>
      <c r="D40" s="42" t="inlineStr">
        <is>
          <t>A confirmar</t>
        </is>
      </c>
      <c r="E40" s="42" t="inlineStr">
        <is>
          <t>A confirmar</t>
        </is>
      </c>
      <c r="F40" s="43" t="inlineStr">
        <is>
          <t>No aplica este mes</t>
        </is>
      </c>
      <c r="G40" s="44" t="n"/>
      <c r="H40" s="44" t="n"/>
      <c r="I40" s="44" t="n"/>
      <c r="J40" s="44" t="n"/>
      <c r="K40" s="44" t="n"/>
      <c r="L40" s="44" t="n"/>
      <c r="M40" s="44" t="n"/>
      <c r="N40" s="44" t="n"/>
      <c r="O40" s="44" t="n"/>
      <c r="P40" s="44" t="n"/>
      <c r="Q40" s="44" t="n"/>
      <c r="R40" s="44" t="n"/>
      <c r="S40" s="44" t="n"/>
      <c r="T40" s="44" t="n"/>
      <c r="U40" s="44" t="n"/>
      <c r="V40" s="44" t="n"/>
      <c r="W40" s="44" t="n"/>
      <c r="X40" s="44" t="n"/>
      <c r="Y40" s="44" t="n"/>
      <c r="Z40" s="44" t="n"/>
      <c r="AA40" s="44" t="n"/>
      <c r="AB40" s="44" t="n"/>
      <c r="AC40" s="44" t="n"/>
      <c r="AD40" s="44" t="n"/>
      <c r="AE40" s="44" t="n"/>
      <c r="AF40" s="44" t="n"/>
      <c r="AG40" s="42" t="inlineStr">
        <is>
          <t>—</t>
        </is>
      </c>
      <c r="AH40" s="42">
        <f>COUNTIF(G40:AF40,"X")</f>
        <v/>
      </c>
      <c r="AI40" s="42" t="inlineStr">
        <is>
          <t>—</t>
        </is>
      </c>
    </row>
    <row r="41">
      <c r="A41" s="39" t="inlineStr">
        <is>
          <t>Falla de Tests</t>
        </is>
      </c>
      <c r="B41" s="40" t="inlineStr">
        <is>
          <t>Coordinacion de Servicios Tecnicos</t>
        </is>
      </c>
      <c r="C41" s="41" t="inlineStr">
        <is>
          <t>Falla de Test - Coordinacion con ST</t>
        </is>
      </c>
      <c r="D41" s="42" t="inlineStr">
        <is>
          <t>Diario</t>
        </is>
      </c>
      <c r="E41" s="42" t="n">
        <v>5</v>
      </c>
      <c r="F41" s="43" t="inlineStr">
        <is>
          <t>Fija</t>
        </is>
      </c>
      <c r="G41" s="44" t="n"/>
      <c r="H41" s="45" t="n"/>
      <c r="I41" s="44" t="n"/>
      <c r="J41" s="44" t="n"/>
      <c r="K41" s="44" t="n"/>
      <c r="L41" s="44" t="n"/>
      <c r="M41" s="44" t="n"/>
      <c r="N41" s="45" t="n"/>
      <c r="O41" s="44" t="n"/>
      <c r="P41" s="44" t="n"/>
      <c r="Q41" s="44" t="n"/>
      <c r="R41" s="44" t="n"/>
      <c r="S41" s="44" t="n"/>
      <c r="T41" s="45" t="n"/>
      <c r="U41" s="44" t="n"/>
      <c r="V41" s="44" t="n"/>
      <c r="W41" s="44" t="n"/>
      <c r="X41" s="44" t="n"/>
      <c r="Y41" s="44" t="n"/>
      <c r="Z41" s="45" t="n"/>
      <c r="AA41" s="44" t="n"/>
      <c r="AB41" s="44" t="n"/>
      <c r="AC41" s="44" t="n"/>
      <c r="AD41" s="44" t="n"/>
      <c r="AE41" s="44" t="n"/>
      <c r="AF41" s="45" t="n"/>
      <c r="AG41" s="42" t="n">
        <v>0.42</v>
      </c>
      <c r="AH41" s="42">
        <f>COUNTIF(G41:AF41,"X")*5.0/60</f>
        <v/>
      </c>
      <c r="AI41" s="42">
        <f>AH41-AG41</f>
        <v/>
      </c>
    </row>
    <row r="42">
      <c r="A42" s="39" t="inlineStr">
        <is>
          <t>Falla de Tests</t>
        </is>
      </c>
      <c r="B42" s="40" t="inlineStr">
        <is>
          <t>Seguimiento de Servicios Tecnicos</t>
        </is>
      </c>
      <c r="C42" s="41" t="inlineStr">
        <is>
          <t>Pendiente de cargar (gap)</t>
        </is>
      </c>
      <c r="D42" s="42" t="inlineStr">
        <is>
          <t>A confirmar</t>
        </is>
      </c>
      <c r="E42" s="42" t="inlineStr">
        <is>
          <t>A confirmar</t>
        </is>
      </c>
      <c r="F42" s="43" t="inlineStr">
        <is>
          <t>No aplica este mes</t>
        </is>
      </c>
      <c r="G42" s="44" t="n"/>
      <c r="H42" s="44" t="n"/>
      <c r="I42" s="44" t="n"/>
      <c r="J42" s="44" t="n"/>
      <c r="K42" s="44" t="n"/>
      <c r="L42" s="44" t="n"/>
      <c r="M42" s="44" t="n"/>
      <c r="N42" s="44" t="n"/>
      <c r="O42" s="44" t="n"/>
      <c r="P42" s="44" t="n"/>
      <c r="Q42" s="44" t="n"/>
      <c r="R42" s="44" t="n"/>
      <c r="S42" s="44" t="n"/>
      <c r="T42" s="44" t="n"/>
      <c r="U42" s="44" t="n"/>
      <c r="V42" s="44" t="n"/>
      <c r="W42" s="44" t="n"/>
      <c r="X42" s="44" t="n"/>
      <c r="Y42" s="44" t="n"/>
      <c r="Z42" s="44" t="n"/>
      <c r="AA42" s="44" t="n"/>
      <c r="AB42" s="44" t="n"/>
      <c r="AC42" s="44" t="n"/>
      <c r="AD42" s="44" t="n"/>
      <c r="AE42" s="44" t="n"/>
      <c r="AF42" s="44" t="n"/>
      <c r="AG42" s="42" t="inlineStr">
        <is>
          <t>—</t>
        </is>
      </c>
      <c r="AH42" s="42">
        <f>COUNTIF(G42:AF42,"X")</f>
        <v/>
      </c>
      <c r="AI42" s="42" t="inlineStr">
        <is>
          <t>—</t>
        </is>
      </c>
    </row>
    <row r="43">
      <c r="A43" s="39" t="inlineStr">
        <is>
          <t>Falla de Tests</t>
        </is>
      </c>
      <c r="B43" s="40" t="inlineStr">
        <is>
          <t>Analisis</t>
        </is>
      </c>
      <c r="C43" s="41" t="inlineStr">
        <is>
          <t>Falla de Test - Analisis</t>
        </is>
      </c>
      <c r="D43" s="42" t="inlineStr">
        <is>
          <t>Diario</t>
        </is>
      </c>
      <c r="E43" s="42" t="n">
        <v>60</v>
      </c>
      <c r="F43" s="43" t="inlineStr">
        <is>
          <t>Fija</t>
        </is>
      </c>
      <c r="G43" s="44" t="n"/>
      <c r="H43" s="45" t="n"/>
      <c r="I43" s="44" t="n"/>
      <c r="J43" s="44" t="n"/>
      <c r="K43" s="44" t="n"/>
      <c r="L43" s="44" t="n"/>
      <c r="M43" s="44" t="n"/>
      <c r="N43" s="45" t="n"/>
      <c r="O43" s="44" t="n"/>
      <c r="P43" s="44" t="n"/>
      <c r="Q43" s="44" t="n"/>
      <c r="R43" s="44" t="n"/>
      <c r="S43" s="44" t="n"/>
      <c r="T43" s="45" t="n"/>
      <c r="U43" s="44" t="n"/>
      <c r="V43" s="44" t="n"/>
      <c r="W43" s="44" t="n"/>
      <c r="X43" s="44" t="n"/>
      <c r="Y43" s="44" t="n"/>
      <c r="Z43" s="45" t="n"/>
      <c r="AA43" s="44" t="n"/>
      <c r="AB43" s="44" t="n"/>
      <c r="AC43" s="44" t="n"/>
      <c r="AD43" s="44" t="n"/>
      <c r="AE43" s="44" t="n"/>
      <c r="AF43" s="45" t="n"/>
      <c r="AG43" s="42" t="n">
        <v>5</v>
      </c>
      <c r="AH43" s="42">
        <f>COUNTIF(G43:AF43,"X")*60.0/60</f>
        <v/>
      </c>
      <c r="AI43" s="42">
        <f>AH43-AG43</f>
        <v/>
      </c>
    </row>
    <row r="44">
      <c r="A44" s="37" t="inlineStr">
        <is>
          <t>Offline (Martes)</t>
        </is>
      </c>
      <c r="B44" s="38" t="n"/>
      <c r="C44" s="38" t="n"/>
      <c r="D44" s="38" t="n"/>
      <c r="E44" s="38" t="n"/>
      <c r="F44" s="38" t="n"/>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row>
    <row r="45">
      <c r="A45" s="39" t="inlineStr">
        <is>
          <t>Offline</t>
        </is>
      </c>
      <c r="B45" s="40" t="inlineStr">
        <is>
          <t>Instructivo General (documento vinculado)</t>
        </is>
      </c>
      <c r="C45" s="41" t="inlineStr">
        <is>
          <t>Offline - procedimiento general</t>
        </is>
      </c>
      <c r="D45" s="42" t="inlineStr">
        <is>
          <t>Semanal</t>
        </is>
      </c>
      <c r="E45" s="42" t="inlineStr">
        <is>
          <t>A confirmar</t>
        </is>
      </c>
      <c r="F45" s="43" t="inlineStr">
        <is>
          <t>Fija</t>
        </is>
      </c>
      <c r="G45" s="44" t="n"/>
      <c r="H45" s="44" t="n"/>
      <c r="I45" s="45" t="n"/>
      <c r="J45" s="44" t="n"/>
      <c r="K45" s="44" t="n"/>
      <c r="L45" s="44" t="n"/>
      <c r="M45" s="44" t="n"/>
      <c r="N45" s="44" t="n"/>
      <c r="O45" s="45" t="n"/>
      <c r="P45" s="44" t="n"/>
      <c r="Q45" s="44" t="n"/>
      <c r="R45" s="44" t="n"/>
      <c r="S45" s="44" t="n"/>
      <c r="T45" s="44" t="n"/>
      <c r="U45" s="45" t="n"/>
      <c r="V45" s="44" t="n"/>
      <c r="W45" s="44" t="n"/>
      <c r="X45" s="44" t="n"/>
      <c r="Y45" s="44" t="n"/>
      <c r="Z45" s="44" t="n"/>
      <c r="AA45" s="45" t="n"/>
      <c r="AB45" s="44" t="n"/>
      <c r="AC45" s="44" t="n"/>
      <c r="AD45" s="44" t="n"/>
      <c r="AE45" s="44" t="n"/>
      <c r="AF45" s="44" t="n"/>
      <c r="AG45" s="42" t="inlineStr">
        <is>
          <t>—</t>
        </is>
      </c>
      <c r="AH45" s="42">
        <f>COUNTIF(G45:AF45,"X")</f>
        <v/>
      </c>
      <c r="AI45" s="42" t="inlineStr">
        <is>
          <t>—</t>
        </is>
      </c>
    </row>
    <row r="46">
      <c r="A46" s="39" t="inlineStr">
        <is>
          <t>Offline</t>
        </is>
      </c>
      <c r="B46" s="40" t="inlineStr">
        <is>
          <t>Offline de las 4</t>
        </is>
      </c>
      <c r="C46" s="41" t="inlineStr">
        <is>
          <t>Pendiente de cargar (gap): informe, analisis, coordinacion ST, mail semanal, objetivo</t>
        </is>
      </c>
      <c r="D46" s="42" t="inlineStr">
        <is>
          <t>A confirmar</t>
        </is>
      </c>
      <c r="E46" s="42" t="inlineStr">
        <is>
          <t>A confirmar</t>
        </is>
      </c>
      <c r="F46" s="43" t="inlineStr">
        <is>
          <t>No aplica este mes</t>
        </is>
      </c>
      <c r="G46" s="44" t="n"/>
      <c r="H46" s="44" t="n"/>
      <c r="I46" s="44" t="n"/>
      <c r="J46" s="44" t="n"/>
      <c r="K46" s="44" t="n"/>
      <c r="L46" s="44" t="n"/>
      <c r="M46" s="44" t="n"/>
      <c r="N46" s="44" t="n"/>
      <c r="O46" s="44" t="n"/>
      <c r="P46" s="44" t="n"/>
      <c r="Q46" s="44" t="n"/>
      <c r="R46" s="44" t="n"/>
      <c r="S46" s="44" t="n"/>
      <c r="T46" s="44" t="n"/>
      <c r="U46" s="44" t="n"/>
      <c r="V46" s="44" t="n"/>
      <c r="W46" s="44" t="n"/>
      <c r="X46" s="44" t="n"/>
      <c r="Y46" s="44" t="n"/>
      <c r="Z46" s="44" t="n"/>
      <c r="AA46" s="44" t="n"/>
      <c r="AB46" s="44" t="n"/>
      <c r="AC46" s="44" t="n"/>
      <c r="AD46" s="44" t="n"/>
      <c r="AE46" s="44" t="n"/>
      <c r="AF46" s="44" t="n"/>
      <c r="AG46" s="42" t="inlineStr">
        <is>
          <t>—</t>
        </is>
      </c>
      <c r="AH46" s="42">
        <f>COUNTIF(G46:AF46,"X")</f>
        <v/>
      </c>
      <c r="AI46" s="42" t="inlineStr">
        <is>
          <t>—</t>
        </is>
      </c>
    </row>
    <row r="47">
      <c r="A47" s="39" t="inlineStr">
        <is>
          <t>Offline</t>
        </is>
      </c>
      <c r="B47" s="40" t="inlineStr">
        <is>
          <t>Offline de las 7</t>
        </is>
      </c>
      <c r="C47" s="41" t="inlineStr">
        <is>
          <t>Pendiente de cargar (gap): informe, analisis, coordinacion ST, mail semanal, objetivo</t>
        </is>
      </c>
      <c r="D47" s="42" t="inlineStr">
        <is>
          <t>A confirmar</t>
        </is>
      </c>
      <c r="E47" s="42" t="inlineStr">
        <is>
          <t>A confirmar</t>
        </is>
      </c>
      <c r="F47" s="43" t="inlineStr">
        <is>
          <t>No aplica este mes</t>
        </is>
      </c>
      <c r="G47" s="44" t="n"/>
      <c r="H47" s="44" t="n"/>
      <c r="I47" s="44" t="n"/>
      <c r="J47" s="44" t="n"/>
      <c r="K47" s="44" t="n"/>
      <c r="L47" s="44" t="n"/>
      <c r="M47" s="44" t="n"/>
      <c r="N47" s="44" t="n"/>
      <c r="O47" s="44" t="n"/>
      <c r="P47" s="44" t="n"/>
      <c r="Q47" s="44" t="n"/>
      <c r="R47" s="44" t="n"/>
      <c r="S47" s="44" t="n"/>
      <c r="T47" s="44" t="n"/>
      <c r="U47" s="44" t="n"/>
      <c r="V47" s="44" t="n"/>
      <c r="W47" s="44" t="n"/>
      <c r="X47" s="44" t="n"/>
      <c r="Y47" s="44" t="n"/>
      <c r="Z47" s="44" t="n"/>
      <c r="AA47" s="44" t="n"/>
      <c r="AB47" s="44" t="n"/>
      <c r="AC47" s="44" t="n"/>
      <c r="AD47" s="44" t="n"/>
      <c r="AE47" s="44" t="n"/>
      <c r="AF47" s="44" t="n"/>
      <c r="AG47" s="42" t="inlineStr">
        <is>
          <t>—</t>
        </is>
      </c>
      <c r="AH47" s="42">
        <f>COUNTIF(G47:AF47,"X")</f>
        <v/>
      </c>
      <c r="AI47" s="42" t="inlineStr">
        <is>
          <t>—</t>
        </is>
      </c>
    </row>
    <row r="48">
      <c r="A48" s="39" t="inlineStr">
        <is>
          <t>Offline</t>
        </is>
      </c>
      <c r="B48" s="40" t="inlineStr">
        <is>
          <t>Offline de las 11</t>
        </is>
      </c>
      <c r="C48" s="41" t="inlineStr">
        <is>
          <t>Pendiente de cargar (gap): informe, analisis, coordinacion ST, mail semanal, objetivo</t>
        </is>
      </c>
      <c r="D48" s="42" t="inlineStr">
        <is>
          <t>A confirmar</t>
        </is>
      </c>
      <c r="E48" s="42" t="inlineStr">
        <is>
          <t>A confirmar</t>
        </is>
      </c>
      <c r="F48" s="43" t="inlineStr">
        <is>
          <t>No aplica este mes</t>
        </is>
      </c>
      <c r="G48" s="44" t="n"/>
      <c r="H48" s="44" t="n"/>
      <c r="I48" s="44" t="n"/>
      <c r="J48" s="44" t="n"/>
      <c r="K48" s="44" t="n"/>
      <c r="L48" s="44" t="n"/>
      <c r="M48" s="44" t="n"/>
      <c r="N48" s="44" t="n"/>
      <c r="O48" s="44" t="n"/>
      <c r="P48" s="44" t="n"/>
      <c r="Q48" s="44" t="n"/>
      <c r="R48" s="44" t="n"/>
      <c r="S48" s="44" t="n"/>
      <c r="T48" s="44" t="n"/>
      <c r="U48" s="44" t="n"/>
      <c r="V48" s="44" t="n"/>
      <c r="W48" s="44" t="n"/>
      <c r="X48" s="44" t="n"/>
      <c r="Y48" s="44" t="n"/>
      <c r="Z48" s="44" t="n"/>
      <c r="AA48" s="44" t="n"/>
      <c r="AB48" s="44" t="n"/>
      <c r="AC48" s="44" t="n"/>
      <c r="AD48" s="44" t="n"/>
      <c r="AE48" s="44" t="n"/>
      <c r="AF48" s="44" t="n"/>
      <c r="AG48" s="42" t="inlineStr">
        <is>
          <t>—</t>
        </is>
      </c>
      <c r="AH48" s="42">
        <f>COUNTIF(G48:AF48,"X")</f>
        <v/>
      </c>
      <c r="AI48" s="42" t="inlineStr">
        <is>
          <t>—</t>
        </is>
      </c>
    </row>
    <row r="49">
      <c r="A49" s="39" t="inlineStr">
        <is>
          <t>Offline</t>
        </is>
      </c>
      <c r="B49" s="40" t="inlineStr">
        <is>
          <t>Horario sin asignar (a confirmar cual de los 3)</t>
        </is>
      </c>
      <c r="C49" s="41" t="inlineStr">
        <is>
          <t>Offline - Analisis general</t>
        </is>
      </c>
      <c r="D49" s="42" t="inlineStr">
        <is>
          <t>Diario</t>
        </is>
      </c>
      <c r="E49" s="42" t="n">
        <v>30</v>
      </c>
      <c r="F49" s="43" t="inlineStr">
        <is>
          <t>Fija</t>
        </is>
      </c>
      <c r="G49" s="44" t="n"/>
      <c r="H49" s="44" t="n"/>
      <c r="I49" s="45" t="n"/>
      <c r="J49" s="44" t="n"/>
      <c r="K49" s="44" t="n"/>
      <c r="L49" s="44" t="n"/>
      <c r="M49" s="44" t="n"/>
      <c r="N49" s="44" t="n"/>
      <c r="O49" s="45" t="n"/>
      <c r="P49" s="44" t="n"/>
      <c r="Q49" s="44" t="n"/>
      <c r="R49" s="44" t="n"/>
      <c r="S49" s="44" t="n"/>
      <c r="T49" s="44" t="n"/>
      <c r="U49" s="45" t="n"/>
      <c r="V49" s="44" t="n"/>
      <c r="W49" s="44" t="n"/>
      <c r="X49" s="44" t="n"/>
      <c r="Y49" s="44" t="n"/>
      <c r="Z49" s="44" t="n"/>
      <c r="AA49" s="45" t="n"/>
      <c r="AB49" s="44" t="n"/>
      <c r="AC49" s="44" t="n"/>
      <c r="AD49" s="44" t="n"/>
      <c r="AE49" s="44" t="n"/>
      <c r="AF49" s="44" t="n"/>
      <c r="AG49" s="42" t="n">
        <v>2</v>
      </c>
      <c r="AH49" s="42">
        <f>COUNTIF(G49:AF49,"X")*30.0/60</f>
        <v/>
      </c>
      <c r="AI49" s="42">
        <f>AH49-AG49</f>
        <v/>
      </c>
    </row>
    <row r="50">
      <c r="A50" s="39" t="inlineStr">
        <is>
          <t>Offline</t>
        </is>
      </c>
      <c r="B50" s="40" t="inlineStr">
        <is>
          <t>Horario sin asignar (a confirmar cual de los 3)</t>
        </is>
      </c>
      <c r="C50" s="41" t="inlineStr">
        <is>
          <t>Offline - Coordinacion con ST</t>
        </is>
      </c>
      <c r="D50" s="42" t="inlineStr">
        <is>
          <t>Diario</t>
        </is>
      </c>
      <c r="E50" s="42" t="n">
        <v>5</v>
      </c>
      <c r="F50" s="43" t="inlineStr">
        <is>
          <t>Fija</t>
        </is>
      </c>
      <c r="G50" s="44" t="n"/>
      <c r="H50" s="44" t="n"/>
      <c r="I50" s="45" t="n"/>
      <c r="J50" s="44" t="n"/>
      <c r="K50" s="44" t="n"/>
      <c r="L50" s="44" t="n"/>
      <c r="M50" s="44" t="n"/>
      <c r="N50" s="44" t="n"/>
      <c r="O50" s="45" t="n"/>
      <c r="P50" s="44" t="n"/>
      <c r="Q50" s="44" t="n"/>
      <c r="R50" s="44" t="n"/>
      <c r="S50" s="44" t="n"/>
      <c r="T50" s="44" t="n"/>
      <c r="U50" s="45" t="n"/>
      <c r="V50" s="44" t="n"/>
      <c r="W50" s="44" t="n"/>
      <c r="X50" s="44" t="n"/>
      <c r="Y50" s="44" t="n"/>
      <c r="Z50" s="44" t="n"/>
      <c r="AA50" s="45" t="n"/>
      <c r="AB50" s="44" t="n"/>
      <c r="AC50" s="44" t="n"/>
      <c r="AD50" s="44" t="n"/>
      <c r="AE50" s="44" t="n"/>
      <c r="AF50" s="44" t="n"/>
      <c r="AG50" s="42" t="n">
        <v>0.33</v>
      </c>
      <c r="AH50" s="42">
        <f>COUNTIF(G50:AF50,"X")*5.0/60</f>
        <v/>
      </c>
      <c r="AI50" s="42">
        <f>AH50-AG50</f>
        <v/>
      </c>
    </row>
    <row r="51">
      <c r="A51" s="37" t="inlineStr">
        <is>
          <t>Redes (Miercoles)</t>
        </is>
      </c>
      <c r="B51" s="38" t="n"/>
      <c r="C51" s="38" t="n"/>
      <c r="D51" s="38" t="n"/>
      <c r="E51" s="38" t="n"/>
      <c r="F51" s="38" t="n"/>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row>
    <row r="52">
      <c r="A52" s="39" t="inlineStr">
        <is>
          <t>Redes</t>
        </is>
      </c>
      <c r="B52" s="40" t="inlineStr">
        <is>
          <t>Telefonia IP</t>
        </is>
      </c>
      <c r="C52" s="41" t="inlineStr">
        <is>
          <t>Pendiente de desglose</t>
        </is>
      </c>
      <c r="D52" s="42" t="inlineStr">
        <is>
          <t>A confirmar</t>
        </is>
      </c>
      <c r="E52" s="42" t="inlineStr">
        <is>
          <t>A confirmar</t>
        </is>
      </c>
      <c r="F52" s="43" t="inlineStr">
        <is>
          <t>No aplica este mes</t>
        </is>
      </c>
      <c r="G52" s="44" t="n"/>
      <c r="H52" s="44" t="n"/>
      <c r="I52" s="44" t="n"/>
      <c r="J52" s="44" t="n"/>
      <c r="K52" s="44" t="n"/>
      <c r="L52" s="44" t="n"/>
      <c r="M52" s="44" t="n"/>
      <c r="N52" s="44" t="n"/>
      <c r="O52" s="44" t="n"/>
      <c r="P52" s="44" t="n"/>
      <c r="Q52" s="44" t="n"/>
      <c r="R52" s="44" t="n"/>
      <c r="S52" s="44" t="n"/>
      <c r="T52" s="44" t="n"/>
      <c r="U52" s="44" t="n"/>
      <c r="V52" s="44" t="n"/>
      <c r="W52" s="44" t="n"/>
      <c r="X52" s="44" t="n"/>
      <c r="Y52" s="44" t="n"/>
      <c r="Z52" s="44" t="n"/>
      <c r="AA52" s="44" t="n"/>
      <c r="AB52" s="44" t="n"/>
      <c r="AC52" s="44" t="n"/>
      <c r="AD52" s="44" t="n"/>
      <c r="AE52" s="44" t="n"/>
      <c r="AF52" s="44" t="n"/>
      <c r="AG52" s="42" t="inlineStr">
        <is>
          <t>—</t>
        </is>
      </c>
      <c r="AH52" s="42">
        <f>COUNTIF(G52:AF52,"X")</f>
        <v/>
      </c>
      <c r="AI52" s="42" t="inlineStr">
        <is>
          <t>—</t>
        </is>
      </c>
    </row>
    <row r="53">
      <c r="A53" s="39" t="inlineStr">
        <is>
          <t>Redes</t>
        </is>
      </c>
      <c r="B53" s="40" t="inlineStr">
        <is>
          <t>Camaras IP</t>
        </is>
      </c>
      <c r="C53" s="41" t="inlineStr">
        <is>
          <t>Horario de Camaras</t>
        </is>
      </c>
      <c r="D53" s="42" t="inlineStr">
        <is>
          <t>Semanal</t>
        </is>
      </c>
      <c r="E53" s="42" t="n">
        <v>5</v>
      </c>
      <c r="F53" s="43" t="inlineStr">
        <is>
          <t>Fija</t>
        </is>
      </c>
      <c r="G53" s="44" t="n"/>
      <c r="H53" s="44" t="n"/>
      <c r="I53" s="44" t="n"/>
      <c r="J53" s="45" t="n"/>
      <c r="K53" s="44" t="n"/>
      <c r="L53" s="45" t="n"/>
      <c r="M53" s="44" t="n"/>
      <c r="N53" s="44" t="n"/>
      <c r="O53" s="44" t="n"/>
      <c r="P53" s="45" t="n"/>
      <c r="Q53" s="44" t="n"/>
      <c r="R53" s="45" t="n"/>
      <c r="S53" s="44" t="n"/>
      <c r="T53" s="44" t="n"/>
      <c r="U53" s="44" t="n"/>
      <c r="V53" s="45" t="n"/>
      <c r="W53" s="44" t="n"/>
      <c r="X53" s="45" t="n"/>
      <c r="Y53" s="44" t="n"/>
      <c r="Z53" s="44" t="n"/>
      <c r="AA53" s="44" t="n"/>
      <c r="AB53" s="45" t="n"/>
      <c r="AC53" s="44" t="n"/>
      <c r="AD53" s="45" t="n"/>
      <c r="AE53" s="44" t="n"/>
      <c r="AF53" s="44" t="n"/>
      <c r="AG53" s="42" t="n">
        <v>0.67</v>
      </c>
      <c r="AH53" s="42">
        <f>COUNTIF(G53:AF53,"X")*5.0/60</f>
        <v/>
      </c>
      <c r="AI53" s="42">
        <f>AH53-AG53</f>
        <v/>
      </c>
    </row>
    <row r="54">
      <c r="A54" s="39" t="inlineStr">
        <is>
          <t>Redes</t>
        </is>
      </c>
      <c r="B54" s="40" t="inlineStr">
        <is>
          <t>Computacion (todas las PCs)</t>
        </is>
      </c>
      <c r="C54" s="41" t="inlineStr">
        <is>
          <t>Norton (antivirus / seguridad)</t>
        </is>
      </c>
      <c r="D54" s="42" t="inlineStr">
        <is>
          <t>Trimestral</t>
        </is>
      </c>
      <c r="E54" s="42" t="n">
        <v>240</v>
      </c>
      <c r="F54" s="43" t="inlineStr">
        <is>
          <t>No aplica este mes</t>
        </is>
      </c>
      <c r="G54" s="44" t="n"/>
      <c r="H54" s="44" t="n"/>
      <c r="I54" s="44" t="n"/>
      <c r="J54" s="44" t="n"/>
      <c r="K54" s="44" t="n"/>
      <c r="L54" s="44" t="n"/>
      <c r="M54" s="44" t="n"/>
      <c r="N54" s="44" t="n"/>
      <c r="O54" s="44" t="n"/>
      <c r="P54" s="44" t="n"/>
      <c r="Q54" s="44" t="n"/>
      <c r="R54" s="44" t="n"/>
      <c r="S54" s="44" t="n"/>
      <c r="T54" s="44" t="n"/>
      <c r="U54" s="44" t="n"/>
      <c r="V54" s="44" t="n"/>
      <c r="W54" s="44" t="n"/>
      <c r="X54" s="44" t="n"/>
      <c r="Y54" s="44" t="n"/>
      <c r="Z54" s="44" t="n"/>
      <c r="AA54" s="44" t="n"/>
      <c r="AB54" s="44" t="n"/>
      <c r="AC54" s="44" t="n"/>
      <c r="AD54" s="44" t="n"/>
      <c r="AE54" s="44" t="n"/>
      <c r="AF54" s="44" t="n"/>
      <c r="AG54" s="42" t="inlineStr">
        <is>
          <t>—</t>
        </is>
      </c>
      <c r="AH54" s="42">
        <f>COUNTIF(G54:AF54,"X")*240.0/60</f>
        <v/>
      </c>
      <c r="AI54" s="42" t="inlineStr">
        <is>
          <t>—</t>
        </is>
      </c>
    </row>
    <row r="55">
      <c r="A55" s="39" t="inlineStr">
        <is>
          <t>Redes</t>
        </is>
      </c>
      <c r="B55" s="40" t="inlineStr">
        <is>
          <t>Impresoras IP</t>
        </is>
      </c>
      <c r="C55" s="41" t="inlineStr">
        <is>
          <t>Pendiente de desglose</t>
        </is>
      </c>
      <c r="D55" s="42" t="inlineStr">
        <is>
          <t>A confirmar</t>
        </is>
      </c>
      <c r="E55" s="42" t="inlineStr">
        <is>
          <t>A confirmar</t>
        </is>
      </c>
      <c r="F55" s="43" t="inlineStr">
        <is>
          <t>No aplica este mes</t>
        </is>
      </c>
      <c r="G55" s="44" t="n"/>
      <c r="H55" s="44" t="n"/>
      <c r="I55" s="44" t="n"/>
      <c r="J55" s="44" t="n"/>
      <c r="K55" s="44" t="n"/>
      <c r="L55" s="44" t="n"/>
      <c r="M55" s="44" t="n"/>
      <c r="N55" s="44" t="n"/>
      <c r="O55" s="44" t="n"/>
      <c r="P55" s="44" t="n"/>
      <c r="Q55" s="44" t="n"/>
      <c r="R55" s="44" t="n"/>
      <c r="S55" s="44" t="n"/>
      <c r="T55" s="44" t="n"/>
      <c r="U55" s="44" t="n"/>
      <c r="V55" s="44" t="n"/>
      <c r="W55" s="44" t="n"/>
      <c r="X55" s="44" t="n"/>
      <c r="Y55" s="44" t="n"/>
      <c r="Z55" s="44" t="n"/>
      <c r="AA55" s="44" t="n"/>
      <c r="AB55" s="44" t="n"/>
      <c r="AC55" s="44" t="n"/>
      <c r="AD55" s="44" t="n"/>
      <c r="AE55" s="44" t="n"/>
      <c r="AF55" s="44" t="n"/>
      <c r="AG55" s="42" t="inlineStr">
        <is>
          <t>—</t>
        </is>
      </c>
      <c r="AH55" s="42">
        <f>COUNTIF(G55:AF55,"X")</f>
        <v/>
      </c>
      <c r="AI55" s="42" t="inlineStr">
        <is>
          <t>—</t>
        </is>
      </c>
    </row>
    <row r="56">
      <c r="A56" s="37" t="inlineStr">
        <is>
          <t>Stock (Viernes)</t>
        </is>
      </c>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row>
    <row r="57">
      <c r="A57" s="39" t="inlineStr">
        <is>
          <t>Stock</t>
        </is>
      </c>
      <c r="B57" s="40" t="inlineStr">
        <is>
          <t>Recepcion y Control de Stock Entrante</t>
        </is>
      </c>
      <c r="C57" s="41" t="inlineStr">
        <is>
          <t>Conteo de stock recibido</t>
        </is>
      </c>
      <c r="D57" s="42" t="inlineStr">
        <is>
          <t>Semanal</t>
        </is>
      </c>
      <c r="E57" s="42" t="n">
        <v>60</v>
      </c>
      <c r="F57" s="43" t="inlineStr">
        <is>
          <t>Fija</t>
        </is>
      </c>
      <c r="G57" s="44" t="n"/>
      <c r="H57" s="44" t="n"/>
      <c r="I57" s="44" t="n"/>
      <c r="J57" s="44" t="n"/>
      <c r="K57" s="44" t="n"/>
      <c r="L57" s="45" t="n"/>
      <c r="M57" s="44" t="n"/>
      <c r="N57" s="44" t="n"/>
      <c r="O57" s="44" t="n"/>
      <c r="P57" s="44" t="n"/>
      <c r="Q57" s="44" t="n"/>
      <c r="R57" s="45" t="n"/>
      <c r="S57" s="44" t="n"/>
      <c r="T57" s="44" t="n"/>
      <c r="U57" s="44" t="n"/>
      <c r="V57" s="44" t="n"/>
      <c r="W57" s="44" t="n"/>
      <c r="X57" s="45" t="n"/>
      <c r="Y57" s="44" t="n"/>
      <c r="Z57" s="44" t="n"/>
      <c r="AA57" s="44" t="n"/>
      <c r="AB57" s="44" t="n"/>
      <c r="AC57" s="44" t="n"/>
      <c r="AD57" s="45" t="n"/>
      <c r="AE57" s="44" t="n"/>
      <c r="AF57" s="44" t="n"/>
      <c r="AG57" s="42" t="n">
        <v>4</v>
      </c>
      <c r="AH57" s="42">
        <f>COUNTIF(G57:AF57,"X")*60.0/60</f>
        <v/>
      </c>
      <c r="AI57" s="42">
        <f>AH57-AG57</f>
        <v/>
      </c>
    </row>
    <row r="58">
      <c r="A58" s="39" t="inlineStr">
        <is>
          <t>Stock</t>
        </is>
      </c>
      <c r="B58" s="40" t="inlineStr">
        <is>
          <t>Recepcion y Control de Stock Entrante</t>
        </is>
      </c>
      <c r="C58" s="41" t="inlineStr">
        <is>
          <t>Control de stock recibido</t>
        </is>
      </c>
      <c r="D58" s="42" t="inlineStr">
        <is>
          <t>Semanal</t>
        </is>
      </c>
      <c r="E58" s="42" t="n">
        <v>90</v>
      </c>
      <c r="F58" s="43" t="inlineStr">
        <is>
          <t>Fija</t>
        </is>
      </c>
      <c r="G58" s="44" t="n"/>
      <c r="H58" s="44" t="n"/>
      <c r="I58" s="44" t="n"/>
      <c r="J58" s="44" t="n"/>
      <c r="K58" s="44" t="n"/>
      <c r="L58" s="45" t="n"/>
      <c r="M58" s="44" t="n"/>
      <c r="N58" s="44" t="n"/>
      <c r="O58" s="44" t="n"/>
      <c r="P58" s="44" t="n"/>
      <c r="Q58" s="44" t="n"/>
      <c r="R58" s="45" t="n"/>
      <c r="S58" s="44" t="n"/>
      <c r="T58" s="44" t="n"/>
      <c r="U58" s="44" t="n"/>
      <c r="V58" s="44" t="n"/>
      <c r="W58" s="44" t="n"/>
      <c r="X58" s="45" t="n"/>
      <c r="Y58" s="44" t="n"/>
      <c r="Z58" s="44" t="n"/>
      <c r="AA58" s="44" t="n"/>
      <c r="AB58" s="44" t="n"/>
      <c r="AC58" s="44" t="n"/>
      <c r="AD58" s="45" t="n"/>
      <c r="AE58" s="44" t="n"/>
      <c r="AF58" s="44" t="n"/>
      <c r="AG58" s="42" t="n">
        <v>6</v>
      </c>
      <c r="AH58" s="42">
        <f>COUNTIF(G58:AF58,"X")*90.0/60</f>
        <v/>
      </c>
      <c r="AI58" s="42">
        <f>AH58-AG58</f>
        <v/>
      </c>
    </row>
    <row r="59">
      <c r="A59" s="39" t="inlineStr">
        <is>
          <t>Stock</t>
        </is>
      </c>
      <c r="B59" s="40" t="inlineStr">
        <is>
          <t>Recepcion y Control de Stock Entrante</t>
        </is>
      </c>
      <c r="C59" s="41" t="inlineStr">
        <is>
          <t>Sellado y etiquetado de stock recibido</t>
        </is>
      </c>
      <c r="D59" s="42" t="inlineStr">
        <is>
          <t>Semanal</t>
        </is>
      </c>
      <c r="E59" s="42" t="n">
        <v>90</v>
      </c>
      <c r="F59" s="43" t="inlineStr">
        <is>
          <t>Fija</t>
        </is>
      </c>
      <c r="G59" s="44" t="n"/>
      <c r="H59" s="44" t="n"/>
      <c r="I59" s="44" t="n"/>
      <c r="J59" s="44" t="n"/>
      <c r="K59" s="44" t="n"/>
      <c r="L59" s="45" t="n"/>
      <c r="M59" s="44" t="n"/>
      <c r="N59" s="44" t="n"/>
      <c r="O59" s="44" t="n"/>
      <c r="P59" s="44" t="n"/>
      <c r="Q59" s="44" t="n"/>
      <c r="R59" s="45" t="n"/>
      <c r="S59" s="44" t="n"/>
      <c r="T59" s="44" t="n"/>
      <c r="U59" s="44" t="n"/>
      <c r="V59" s="44" t="n"/>
      <c r="W59" s="44" t="n"/>
      <c r="X59" s="45" t="n"/>
      <c r="Y59" s="44" t="n"/>
      <c r="Z59" s="44" t="n"/>
      <c r="AA59" s="44" t="n"/>
      <c r="AB59" s="44" t="n"/>
      <c r="AC59" s="44" t="n"/>
      <c r="AD59" s="45" t="n"/>
      <c r="AE59" s="44" t="n"/>
      <c r="AF59" s="44" t="n"/>
      <c r="AG59" s="42" t="n">
        <v>6</v>
      </c>
      <c r="AH59" s="42">
        <f>COUNTIF(G59:AF59,"X")*90.0/60</f>
        <v/>
      </c>
      <c r="AI59" s="42">
        <f>AH59-AG59</f>
        <v/>
      </c>
    </row>
    <row r="60">
      <c r="A60" s="39" t="inlineStr">
        <is>
          <t>Stock</t>
        </is>
      </c>
      <c r="B60" s="40" t="inlineStr">
        <is>
          <t>Recepcion y Control de Stock Entrante</t>
        </is>
      </c>
      <c r="C60" s="41" t="inlineStr">
        <is>
          <t>Almacenamiento de stock recibido</t>
        </is>
      </c>
      <c r="D60" s="42" t="inlineStr">
        <is>
          <t>Semanal</t>
        </is>
      </c>
      <c r="E60" s="42" t="n">
        <v>90</v>
      </c>
      <c r="F60" s="43" t="inlineStr">
        <is>
          <t>Fija</t>
        </is>
      </c>
      <c r="G60" s="44" t="n"/>
      <c r="H60" s="44" t="n"/>
      <c r="I60" s="44" t="n"/>
      <c r="J60" s="44" t="n"/>
      <c r="K60" s="44" t="n"/>
      <c r="L60" s="45" t="n"/>
      <c r="M60" s="44" t="n"/>
      <c r="N60" s="44" t="n"/>
      <c r="O60" s="44" t="n"/>
      <c r="P60" s="44" t="n"/>
      <c r="Q60" s="44" t="n"/>
      <c r="R60" s="45" t="n"/>
      <c r="S60" s="44" t="n"/>
      <c r="T60" s="44" t="n"/>
      <c r="U60" s="44" t="n"/>
      <c r="V60" s="44" t="n"/>
      <c r="W60" s="44" t="n"/>
      <c r="X60" s="45" t="n"/>
      <c r="Y60" s="44" t="n"/>
      <c r="Z60" s="44" t="n"/>
      <c r="AA60" s="44" t="n"/>
      <c r="AB60" s="44" t="n"/>
      <c r="AC60" s="44" t="n"/>
      <c r="AD60" s="45" t="n"/>
      <c r="AE60" s="44" t="n"/>
      <c r="AF60" s="44" t="n"/>
      <c r="AG60" s="42" t="n">
        <v>6</v>
      </c>
      <c r="AH60" s="42">
        <f>COUNTIF(G60:AF60,"X")*90.0/60</f>
        <v/>
      </c>
      <c r="AI60" s="42">
        <f>AH60-AG60</f>
        <v/>
      </c>
    </row>
    <row r="61">
      <c r="A61" s="39" t="inlineStr">
        <is>
          <t>Stock</t>
        </is>
      </c>
      <c r="B61" s="40" t="inlineStr">
        <is>
          <t>Gestion de Insumos</t>
        </is>
      </c>
      <c r="C61" s="41" t="inlineStr">
        <is>
          <t>Conteo de insumos (limpieza)</t>
        </is>
      </c>
      <c r="D61" s="42" t="inlineStr">
        <is>
          <t>Mensual</t>
        </is>
      </c>
      <c r="E61" s="42" t="n">
        <v>10</v>
      </c>
      <c r="F61" s="43" t="inlineStr">
        <is>
          <t>Fija</t>
        </is>
      </c>
      <c r="G61" s="44" t="n"/>
      <c r="H61" s="44" t="n"/>
      <c r="I61" s="44" t="n"/>
      <c r="J61" s="44" t="n"/>
      <c r="K61" s="44" t="n"/>
      <c r="L61" s="44" t="n"/>
      <c r="M61" s="44" t="n"/>
      <c r="N61" s="44" t="n"/>
      <c r="O61" s="44" t="n"/>
      <c r="P61" s="44" t="n"/>
      <c r="Q61" s="44" t="n"/>
      <c r="R61" s="44" t="n"/>
      <c r="S61" s="44" t="n"/>
      <c r="T61" s="44" t="n"/>
      <c r="U61" s="44" t="n"/>
      <c r="V61" s="44" t="n"/>
      <c r="W61" s="44" t="n"/>
      <c r="X61" s="44" t="n"/>
      <c r="Y61" s="44" t="n"/>
      <c r="Z61" s="44" t="n"/>
      <c r="AA61" s="44" t="n"/>
      <c r="AB61" s="45" t="n"/>
      <c r="AC61" s="44" t="n"/>
      <c r="AD61" s="44" t="n"/>
      <c r="AE61" s="44" t="n"/>
      <c r="AF61" s="44" t="n"/>
      <c r="AG61" s="42" t="n">
        <v>0.17</v>
      </c>
      <c r="AH61" s="42">
        <f>COUNTIF(G61:AF61,"X")*10.0/60</f>
        <v/>
      </c>
      <c r="AI61" s="42">
        <f>AH61-AG61</f>
        <v/>
      </c>
    </row>
    <row r="62">
      <c r="A62" s="39" t="inlineStr">
        <is>
          <t>Stock</t>
        </is>
      </c>
      <c r="B62" s="40" t="inlineStr">
        <is>
          <t>Gestion de Insumos</t>
        </is>
      </c>
      <c r="C62" s="41" t="inlineStr">
        <is>
          <t>Solicitud de insumos (limpieza)</t>
        </is>
      </c>
      <c r="D62" s="42" t="inlineStr">
        <is>
          <t>Mensual</t>
        </is>
      </c>
      <c r="E62" s="42" t="inlineStr">
        <is>
          <t>A confirmar</t>
        </is>
      </c>
      <c r="F62" s="43" t="inlineStr">
        <is>
          <t>Fija</t>
        </is>
      </c>
      <c r="G62" s="44" t="n"/>
      <c r="H62" s="44" t="n"/>
      <c r="I62" s="44" t="n"/>
      <c r="J62" s="44" t="n"/>
      <c r="K62" s="44" t="n"/>
      <c r="L62" s="44" t="n"/>
      <c r="M62" s="44" t="n"/>
      <c r="N62" s="44" t="n"/>
      <c r="O62" s="44" t="n"/>
      <c r="P62" s="44" t="n"/>
      <c r="Q62" s="44" t="n"/>
      <c r="R62" s="44" t="n"/>
      <c r="S62" s="44" t="n"/>
      <c r="T62" s="44" t="n"/>
      <c r="U62" s="44" t="n"/>
      <c r="V62" s="44" t="n"/>
      <c r="W62" s="44" t="n"/>
      <c r="X62" s="44" t="n"/>
      <c r="Y62" s="44" t="n"/>
      <c r="Z62" s="44" t="n"/>
      <c r="AA62" s="44" t="n"/>
      <c r="AB62" s="45" t="n"/>
      <c r="AC62" s="44" t="n"/>
      <c r="AD62" s="44" t="n"/>
      <c r="AE62" s="44" t="n"/>
      <c r="AF62" s="44" t="n"/>
      <c r="AG62" s="42" t="inlineStr">
        <is>
          <t>—</t>
        </is>
      </c>
      <c r="AH62" s="42">
        <f>COUNTIF(G62:AF62,"X")</f>
        <v/>
      </c>
      <c r="AI62" s="42" t="inlineStr">
        <is>
          <t>—</t>
        </is>
      </c>
    </row>
    <row r="63">
      <c r="A63" s="39" t="inlineStr">
        <is>
          <t>Stock</t>
        </is>
      </c>
      <c r="B63" s="40" t="inlineStr">
        <is>
          <t>Gestion de Insumos</t>
        </is>
      </c>
      <c r="C63" s="41" t="inlineStr">
        <is>
          <t>Conteo de insumos (cocina)</t>
        </is>
      </c>
      <c r="D63" s="42" t="inlineStr">
        <is>
          <t>Mensual</t>
        </is>
      </c>
      <c r="E63" s="42" t="n">
        <v>10</v>
      </c>
      <c r="F63" s="43" t="inlineStr">
        <is>
          <t>Fija</t>
        </is>
      </c>
      <c r="G63" s="44" t="n"/>
      <c r="H63" s="44" t="n"/>
      <c r="I63" s="44" t="n"/>
      <c r="J63" s="44" t="n"/>
      <c r="K63" s="44" t="n"/>
      <c r="L63" s="44" t="n"/>
      <c r="M63" s="44" t="n"/>
      <c r="N63" s="44" t="n"/>
      <c r="O63" s="44" t="n"/>
      <c r="P63" s="44" t="n"/>
      <c r="Q63" s="44" t="n"/>
      <c r="R63" s="44" t="n"/>
      <c r="S63" s="44" t="n"/>
      <c r="T63" s="44" t="n"/>
      <c r="U63" s="44" t="n"/>
      <c r="V63" s="44" t="n"/>
      <c r="W63" s="44" t="n"/>
      <c r="X63" s="44" t="n"/>
      <c r="Y63" s="44" t="n"/>
      <c r="Z63" s="44" t="n"/>
      <c r="AA63" s="44" t="n"/>
      <c r="AB63" s="45" t="n"/>
      <c r="AC63" s="44" t="n"/>
      <c r="AD63" s="44" t="n"/>
      <c r="AE63" s="44" t="n"/>
      <c r="AF63" s="44" t="n"/>
      <c r="AG63" s="42" t="n">
        <v>0.17</v>
      </c>
      <c r="AH63" s="42">
        <f>COUNTIF(G63:AF63,"X")*10.0/60</f>
        <v/>
      </c>
      <c r="AI63" s="42">
        <f>AH63-AG63</f>
        <v/>
      </c>
    </row>
    <row r="64">
      <c r="A64" s="39" t="inlineStr">
        <is>
          <t>Stock</t>
        </is>
      </c>
      <c r="B64" s="40" t="inlineStr">
        <is>
          <t>Gestion de Insumos</t>
        </is>
      </c>
      <c r="C64" s="41" t="inlineStr">
        <is>
          <t>Compra de insumos (cocina)</t>
        </is>
      </c>
      <c r="D64" s="42" t="inlineStr">
        <is>
          <t>Mensual</t>
        </is>
      </c>
      <c r="E64" s="42" t="inlineStr">
        <is>
          <t>A confirmar</t>
        </is>
      </c>
      <c r="F64" s="43" t="inlineStr">
        <is>
          <t>Fija</t>
        </is>
      </c>
      <c r="G64" s="44" t="n"/>
      <c r="H64" s="44" t="n"/>
      <c r="I64" s="44" t="n"/>
      <c r="J64" s="44" t="n"/>
      <c r="K64" s="44" t="n"/>
      <c r="L64" s="44" t="n"/>
      <c r="M64" s="44" t="n"/>
      <c r="N64" s="44" t="n"/>
      <c r="O64" s="44" t="n"/>
      <c r="P64" s="44" t="n"/>
      <c r="Q64" s="44" t="n"/>
      <c r="R64" s="44" t="n"/>
      <c r="S64" s="44" t="n"/>
      <c r="T64" s="44" t="n"/>
      <c r="U64" s="44" t="n"/>
      <c r="V64" s="44" t="n"/>
      <c r="W64" s="44" t="n"/>
      <c r="X64" s="44" t="n"/>
      <c r="Y64" s="44" t="n"/>
      <c r="Z64" s="44" t="n"/>
      <c r="AA64" s="44" t="n"/>
      <c r="AB64" s="45" t="n"/>
      <c r="AC64" s="44" t="n"/>
      <c r="AD64" s="44" t="n"/>
      <c r="AE64" s="44" t="n"/>
      <c r="AF64" s="44" t="n"/>
      <c r="AG64" s="42" t="inlineStr">
        <is>
          <t>—</t>
        </is>
      </c>
      <c r="AH64" s="42">
        <f>COUNTIF(G64:AF64,"X")</f>
        <v/>
      </c>
      <c r="AI64" s="42" t="inlineStr">
        <is>
          <t>—</t>
        </is>
      </c>
    </row>
    <row r="65">
      <c r="A65" s="39" t="inlineStr">
        <is>
          <t>Stock</t>
        </is>
      </c>
      <c r="B65" s="40" t="inlineStr">
        <is>
          <t>Gestion de Insumos</t>
        </is>
      </c>
      <c r="C65" s="41" t="inlineStr">
        <is>
          <t>Conteo de insumos (libreria)</t>
        </is>
      </c>
      <c r="D65" s="42" t="inlineStr">
        <is>
          <t>Mensual</t>
        </is>
      </c>
      <c r="E65" s="42" t="n">
        <v>10</v>
      </c>
      <c r="F65" s="43" t="inlineStr">
        <is>
          <t>Fija</t>
        </is>
      </c>
      <c r="G65" s="44" t="n"/>
      <c r="H65" s="44" t="n"/>
      <c r="I65" s="44" t="n"/>
      <c r="J65" s="44" t="n"/>
      <c r="K65" s="44" t="n"/>
      <c r="L65" s="44" t="n"/>
      <c r="M65" s="44" t="n"/>
      <c r="N65" s="44" t="n"/>
      <c r="O65" s="44" t="n"/>
      <c r="P65" s="44" t="n"/>
      <c r="Q65" s="44" t="n"/>
      <c r="R65" s="44" t="n"/>
      <c r="S65" s="44" t="n"/>
      <c r="T65" s="44" t="n"/>
      <c r="U65" s="44" t="n"/>
      <c r="V65" s="44" t="n"/>
      <c r="W65" s="44" t="n"/>
      <c r="X65" s="44" t="n"/>
      <c r="Y65" s="44" t="n"/>
      <c r="Z65" s="44" t="n"/>
      <c r="AA65" s="44" t="n"/>
      <c r="AB65" s="45" t="n"/>
      <c r="AC65" s="44" t="n"/>
      <c r="AD65" s="44" t="n"/>
      <c r="AE65" s="44" t="n"/>
      <c r="AF65" s="44" t="n"/>
      <c r="AG65" s="42" t="n">
        <v>0.17</v>
      </c>
      <c r="AH65" s="42">
        <f>COUNTIF(G65:AF65,"X")*10.0/60</f>
        <v/>
      </c>
      <c r="AI65" s="42">
        <f>AH65-AG65</f>
        <v/>
      </c>
    </row>
    <row r="66">
      <c r="A66" s="39" t="inlineStr">
        <is>
          <t>Stock</t>
        </is>
      </c>
      <c r="B66" s="40" t="inlineStr">
        <is>
          <t>Gestion de Insumos</t>
        </is>
      </c>
      <c r="C66" s="41" t="inlineStr">
        <is>
          <t>Solicitud de insumos (libreria)</t>
        </is>
      </c>
      <c r="D66" s="42" t="inlineStr">
        <is>
          <t>Mensual</t>
        </is>
      </c>
      <c r="E66" s="42" t="n">
        <v>20</v>
      </c>
      <c r="F66" s="43" t="inlineStr">
        <is>
          <t>Fija</t>
        </is>
      </c>
      <c r="G66" s="44" t="n"/>
      <c r="H66" s="44" t="n"/>
      <c r="I66" s="44" t="n"/>
      <c r="J66" s="44" t="n"/>
      <c r="K66" s="44" t="n"/>
      <c r="L66" s="44" t="n"/>
      <c r="M66" s="44" t="n"/>
      <c r="N66" s="44" t="n"/>
      <c r="O66" s="44" t="n"/>
      <c r="P66" s="44" t="n"/>
      <c r="Q66" s="44" t="n"/>
      <c r="R66" s="44" t="n"/>
      <c r="S66" s="44" t="n"/>
      <c r="T66" s="44" t="n"/>
      <c r="U66" s="44" t="n"/>
      <c r="V66" s="44" t="n"/>
      <c r="W66" s="44" t="n"/>
      <c r="X66" s="44" t="n"/>
      <c r="Y66" s="44" t="n"/>
      <c r="Z66" s="44" t="n"/>
      <c r="AA66" s="44" t="n"/>
      <c r="AB66" s="45" t="n"/>
      <c r="AC66" s="44" t="n"/>
      <c r="AD66" s="44" t="n"/>
      <c r="AE66" s="44" t="n"/>
      <c r="AF66" s="44" t="n"/>
      <c r="AG66" s="42" t="n">
        <v>0.33</v>
      </c>
      <c r="AH66" s="42">
        <f>COUNTIF(G66:AF66,"X")*20.0/60</f>
        <v/>
      </c>
      <c r="AI66" s="42">
        <f>AH66-AG66</f>
        <v/>
      </c>
    </row>
    <row r="67">
      <c r="A67" s="39" t="inlineStr">
        <is>
          <t>Stock</t>
        </is>
      </c>
      <c r="B67" s="40" t="inlineStr">
        <is>
          <t>Gestion de Insumos</t>
        </is>
      </c>
      <c r="C67" s="41" t="inlineStr">
        <is>
          <t>Conteo de insumos (botiquin)</t>
        </is>
      </c>
      <c r="D67" s="42" t="inlineStr">
        <is>
          <t>Mensual</t>
        </is>
      </c>
      <c r="E67" s="42" t="n">
        <v>10</v>
      </c>
      <c r="F67" s="43" t="inlineStr">
        <is>
          <t>Fija</t>
        </is>
      </c>
      <c r="G67" s="44" t="n"/>
      <c r="H67" s="44" t="n"/>
      <c r="I67" s="44" t="n"/>
      <c r="J67" s="44" t="n"/>
      <c r="K67" s="44" t="n"/>
      <c r="L67" s="44" t="n"/>
      <c r="M67" s="44" t="n"/>
      <c r="N67" s="44" t="n"/>
      <c r="O67" s="44" t="n"/>
      <c r="P67" s="44" t="n"/>
      <c r="Q67" s="44" t="n"/>
      <c r="R67" s="44" t="n"/>
      <c r="S67" s="44" t="n"/>
      <c r="T67" s="44" t="n"/>
      <c r="U67" s="44" t="n"/>
      <c r="V67" s="44" t="n"/>
      <c r="W67" s="44" t="n"/>
      <c r="X67" s="44" t="n"/>
      <c r="Y67" s="44" t="n"/>
      <c r="Z67" s="44" t="n"/>
      <c r="AA67" s="44" t="n"/>
      <c r="AB67" s="45" t="n"/>
      <c r="AC67" s="44" t="n"/>
      <c r="AD67" s="44" t="n"/>
      <c r="AE67" s="44" t="n"/>
      <c r="AF67" s="44" t="n"/>
      <c r="AG67" s="42" t="n">
        <v>0.17</v>
      </c>
      <c r="AH67" s="42">
        <f>COUNTIF(G67:AF67,"X")*10.0/60</f>
        <v/>
      </c>
      <c r="AI67" s="42">
        <f>AH67-AG67</f>
        <v/>
      </c>
    </row>
    <row r="68">
      <c r="A68" s="39" t="inlineStr">
        <is>
          <t>Stock</t>
        </is>
      </c>
      <c r="B68" s="40" t="inlineStr">
        <is>
          <t>Gestion de Insumos</t>
        </is>
      </c>
      <c r="C68" s="41" t="inlineStr">
        <is>
          <t>Solicitud de insumos (botiquin)</t>
        </is>
      </c>
      <c r="D68" s="42" t="inlineStr">
        <is>
          <t>Mensual</t>
        </is>
      </c>
      <c r="E68" s="42" t="n">
        <v>20</v>
      </c>
      <c r="F68" s="43" t="inlineStr">
        <is>
          <t>Fija</t>
        </is>
      </c>
      <c r="G68" s="44" t="n"/>
      <c r="H68" s="44" t="n"/>
      <c r="I68" s="44" t="n"/>
      <c r="J68" s="44" t="n"/>
      <c r="K68" s="44" t="n"/>
      <c r="L68" s="44" t="n"/>
      <c r="M68" s="44" t="n"/>
      <c r="N68" s="44" t="n"/>
      <c r="O68" s="44" t="n"/>
      <c r="P68" s="44" t="n"/>
      <c r="Q68" s="44" t="n"/>
      <c r="R68" s="44" t="n"/>
      <c r="S68" s="44" t="n"/>
      <c r="T68" s="44" t="n"/>
      <c r="U68" s="44" t="n"/>
      <c r="V68" s="44" t="n"/>
      <c r="W68" s="44" t="n"/>
      <c r="X68" s="44" t="n"/>
      <c r="Y68" s="44" t="n"/>
      <c r="Z68" s="44" t="n"/>
      <c r="AA68" s="44" t="n"/>
      <c r="AB68" s="45" t="n"/>
      <c r="AC68" s="44" t="n"/>
      <c r="AD68" s="44" t="n"/>
      <c r="AE68" s="44" t="n"/>
      <c r="AF68" s="44" t="n"/>
      <c r="AG68" s="42" t="n">
        <v>0.33</v>
      </c>
      <c r="AH68" s="42">
        <f>COUNTIF(G68:AF68,"X")*20.0/60</f>
        <v/>
      </c>
      <c r="AI68" s="42">
        <f>AH68-AG68</f>
        <v/>
      </c>
    </row>
    <row r="69">
      <c r="A69" s="39" t="inlineStr">
        <is>
          <t>Stock</t>
        </is>
      </c>
      <c r="B69" s="40" t="inlineStr">
        <is>
          <t>Gestion de Insumos</t>
        </is>
      </c>
      <c r="C69" s="41" t="inlineStr">
        <is>
          <t>Cargar facturas de insumos</t>
        </is>
      </c>
      <c r="D69" s="42" t="inlineStr">
        <is>
          <t>Semanal</t>
        </is>
      </c>
      <c r="E69" s="42" t="n">
        <v>30</v>
      </c>
      <c r="F69" s="43" t="inlineStr">
        <is>
          <t>Fija</t>
        </is>
      </c>
      <c r="G69" s="44" t="n"/>
      <c r="H69" s="44" t="n"/>
      <c r="I69" s="44" t="n"/>
      <c r="J69" s="44" t="n"/>
      <c r="K69" s="45" t="n"/>
      <c r="L69" s="45" t="n"/>
      <c r="M69" s="44" t="n"/>
      <c r="N69" s="44" t="n"/>
      <c r="O69" s="44" t="n"/>
      <c r="P69" s="44" t="n"/>
      <c r="Q69" s="45" t="n"/>
      <c r="R69" s="45" t="n"/>
      <c r="S69" s="44" t="n"/>
      <c r="T69" s="44" t="n"/>
      <c r="U69" s="44" t="n"/>
      <c r="V69" s="44" t="n"/>
      <c r="W69" s="45" t="n"/>
      <c r="X69" s="45" t="n"/>
      <c r="Y69" s="44" t="n"/>
      <c r="Z69" s="44" t="n"/>
      <c r="AA69" s="44" t="n"/>
      <c r="AB69" s="44" t="n"/>
      <c r="AC69" s="45" t="n"/>
      <c r="AD69" s="45" t="n"/>
      <c r="AE69" s="44" t="n"/>
      <c r="AF69" s="44" t="n"/>
      <c r="AG69" s="42" t="n">
        <v>4</v>
      </c>
      <c r="AH69" s="42">
        <f>COUNTIF(G69:AF69,"X")*30.0/60</f>
        <v/>
      </c>
      <c r="AI69" s="42">
        <f>AH69-AG69</f>
        <v/>
      </c>
    </row>
    <row r="70">
      <c r="A70" s="39" t="inlineStr">
        <is>
          <t>Stock</t>
        </is>
      </c>
      <c r="B70" s="40" t="inlineStr">
        <is>
          <t>Impresion de Documentacion</t>
        </is>
      </c>
      <c r="C70" s="41" t="inlineStr">
        <is>
          <t>Impresion de Remito (egreso de equipos)</t>
        </is>
      </c>
      <c r="D70" s="42" t="inlineStr">
        <is>
          <t>Mensual (ideal: bimestral/trimestral)</t>
        </is>
      </c>
      <c r="E70" s="42" t="n">
        <v>60</v>
      </c>
      <c r="F70" s="43" t="inlineStr">
        <is>
          <t>Fija</t>
        </is>
      </c>
      <c r="G70" s="45" t="n"/>
      <c r="H70" s="44" t="n"/>
      <c r="I70" s="44" t="n"/>
      <c r="J70" s="44" t="n"/>
      <c r="K70" s="44" t="n"/>
      <c r="L70" s="44" t="n"/>
      <c r="M70" s="44" t="n"/>
      <c r="N70" s="44" t="n"/>
      <c r="O70" s="44" t="n"/>
      <c r="P70" s="44" t="n"/>
      <c r="Q70" s="44" t="n"/>
      <c r="R70" s="44" t="n"/>
      <c r="S70" s="44" t="n"/>
      <c r="T70" s="44" t="n"/>
      <c r="U70" s="44" t="n"/>
      <c r="V70" s="44" t="n"/>
      <c r="W70" s="44" t="n"/>
      <c r="X70" s="44" t="n"/>
      <c r="Y70" s="44" t="n"/>
      <c r="Z70" s="44" t="n"/>
      <c r="AA70" s="44" t="n"/>
      <c r="AB70" s="44" t="n"/>
      <c r="AC70" s="44" t="n"/>
      <c r="AD70" s="44" t="n"/>
      <c r="AE70" s="44" t="n"/>
      <c r="AF70" s="44" t="n"/>
      <c r="AG70" s="42" t="n">
        <v>1</v>
      </c>
      <c r="AH70" s="42">
        <f>COUNTIF(G70:AF70,"X")*60.0/60</f>
        <v/>
      </c>
      <c r="AI70" s="42">
        <f>AH70-AG70</f>
        <v/>
      </c>
    </row>
    <row r="71">
      <c r="A71" s="39" t="inlineStr">
        <is>
          <t>Stock</t>
        </is>
      </c>
      <c r="B71" s="40" t="inlineStr">
        <is>
          <t>Impresion de Documentacion</t>
        </is>
      </c>
      <c r="C71" s="41" t="inlineStr">
        <is>
          <t>Impresion de Entrega de Instalacion</t>
        </is>
      </c>
      <c r="D71" s="42" t="inlineStr">
        <is>
          <t>A confirmar</t>
        </is>
      </c>
      <c r="E71" s="42" t="inlineStr">
        <is>
          <t>A confirmar</t>
        </is>
      </c>
      <c r="F71" s="43" t="inlineStr">
        <is>
          <t>No aplica este mes</t>
        </is>
      </c>
      <c r="G71" s="44" t="n"/>
      <c r="H71" s="44" t="n"/>
      <c r="I71" s="44" t="n"/>
      <c r="J71" s="44" t="n"/>
      <c r="K71" s="44" t="n"/>
      <c r="L71" s="44" t="n"/>
      <c r="M71" s="44" t="n"/>
      <c r="N71" s="44" t="n"/>
      <c r="O71" s="44" t="n"/>
      <c r="P71" s="44" t="n"/>
      <c r="Q71" s="44" t="n"/>
      <c r="R71" s="44" t="n"/>
      <c r="S71" s="44" t="n"/>
      <c r="T71" s="44" t="n"/>
      <c r="U71" s="44" t="n"/>
      <c r="V71" s="44" t="n"/>
      <c r="W71" s="44" t="n"/>
      <c r="X71" s="44" t="n"/>
      <c r="Y71" s="44" t="n"/>
      <c r="Z71" s="44" t="n"/>
      <c r="AA71" s="44" t="n"/>
      <c r="AB71" s="44" t="n"/>
      <c r="AC71" s="44" t="n"/>
      <c r="AD71" s="44" t="n"/>
      <c r="AE71" s="44" t="n"/>
      <c r="AF71" s="44" t="n"/>
      <c r="AG71" s="42" t="inlineStr">
        <is>
          <t>—</t>
        </is>
      </c>
      <c r="AH71" s="42">
        <f>COUNTIF(G71:AF71,"X")</f>
        <v/>
      </c>
      <c r="AI71" s="42" t="inlineStr">
        <is>
          <t>—</t>
        </is>
      </c>
    </row>
    <row r="72">
      <c r="A72" s="39" t="inlineStr">
        <is>
          <t>Stock</t>
        </is>
      </c>
      <c r="B72" s="40" t="inlineStr">
        <is>
          <t>Impresion de Documentacion</t>
        </is>
      </c>
      <c r="C72" s="41" t="inlineStr">
        <is>
          <t>Impresion de Directivas Tecnicas</t>
        </is>
      </c>
      <c r="D72" s="42" t="inlineStr">
        <is>
          <t>A confirmar</t>
        </is>
      </c>
      <c r="E72" s="42" t="inlineStr">
        <is>
          <t>A confirmar</t>
        </is>
      </c>
      <c r="F72" s="43" t="inlineStr">
        <is>
          <t>No aplica este mes</t>
        </is>
      </c>
      <c r="G72" s="44" t="n"/>
      <c r="H72" s="44" t="n"/>
      <c r="I72" s="44" t="n"/>
      <c r="J72" s="44" t="n"/>
      <c r="K72" s="44" t="n"/>
      <c r="L72" s="44" t="n"/>
      <c r="M72" s="44" t="n"/>
      <c r="N72" s="44" t="n"/>
      <c r="O72" s="44" t="n"/>
      <c r="P72" s="44" t="n"/>
      <c r="Q72" s="44" t="n"/>
      <c r="R72" s="44" t="n"/>
      <c r="S72" s="44" t="n"/>
      <c r="T72" s="44" t="n"/>
      <c r="U72" s="44" t="n"/>
      <c r="V72" s="44" t="n"/>
      <c r="W72" s="44" t="n"/>
      <c r="X72" s="44" t="n"/>
      <c r="Y72" s="44" t="n"/>
      <c r="Z72" s="44" t="n"/>
      <c r="AA72" s="44" t="n"/>
      <c r="AB72" s="44" t="n"/>
      <c r="AC72" s="44" t="n"/>
      <c r="AD72" s="44" t="n"/>
      <c r="AE72" s="44" t="n"/>
      <c r="AF72" s="44" t="n"/>
      <c r="AG72" s="42" t="inlineStr">
        <is>
          <t>—</t>
        </is>
      </c>
      <c r="AH72" s="42">
        <f>COUNTIF(G72:AF72,"X")</f>
        <v/>
      </c>
      <c r="AI72" s="42" t="inlineStr">
        <is>
          <t>—</t>
        </is>
      </c>
    </row>
    <row r="73">
      <c r="A73" s="39" t="inlineStr">
        <is>
          <t>Stock</t>
        </is>
      </c>
      <c r="B73" s="40" t="inlineStr">
        <is>
          <t>Impresion de Documentacion</t>
        </is>
      </c>
      <c r="C73" s="41" t="inlineStr">
        <is>
          <t>Impresion de Relevamientos</t>
        </is>
      </c>
      <c r="D73" s="42" t="inlineStr">
        <is>
          <t>A confirmar</t>
        </is>
      </c>
      <c r="E73" s="42" t="inlineStr">
        <is>
          <t>A confirmar</t>
        </is>
      </c>
      <c r="F73" s="43" t="inlineStr">
        <is>
          <t>No aplica este mes</t>
        </is>
      </c>
      <c r="G73" s="44" t="n"/>
      <c r="H73" s="44" t="n"/>
      <c r="I73" s="44" t="n"/>
      <c r="J73" s="44" t="n"/>
      <c r="K73" s="44" t="n"/>
      <c r="L73" s="44" t="n"/>
      <c r="M73" s="44" t="n"/>
      <c r="N73" s="44" t="n"/>
      <c r="O73" s="44" t="n"/>
      <c r="P73" s="44" t="n"/>
      <c r="Q73" s="44" t="n"/>
      <c r="R73" s="44" t="n"/>
      <c r="S73" s="44" t="n"/>
      <c r="T73" s="44" t="n"/>
      <c r="U73" s="44" t="n"/>
      <c r="V73" s="44" t="n"/>
      <c r="W73" s="44" t="n"/>
      <c r="X73" s="44" t="n"/>
      <c r="Y73" s="44" t="n"/>
      <c r="Z73" s="44" t="n"/>
      <c r="AA73" s="44" t="n"/>
      <c r="AB73" s="44" t="n"/>
      <c r="AC73" s="44" t="n"/>
      <c r="AD73" s="44" t="n"/>
      <c r="AE73" s="44" t="n"/>
      <c r="AF73" s="44" t="n"/>
      <c r="AG73" s="42" t="inlineStr">
        <is>
          <t>—</t>
        </is>
      </c>
      <c r="AH73" s="42">
        <f>COUNTIF(G73:AF73,"X")</f>
        <v/>
      </c>
      <c r="AI73" s="42" t="inlineStr">
        <is>
          <t>—</t>
        </is>
      </c>
    </row>
    <row r="74">
      <c r="A74" s="39" t="inlineStr">
        <is>
          <t>Stock</t>
        </is>
      </c>
      <c r="B74" s="40" t="inlineStr">
        <is>
          <t>Impresion de Documentacion</t>
        </is>
      </c>
      <c r="C74" s="41" t="inlineStr">
        <is>
          <t>Impresion de Guias de Usuario</t>
        </is>
      </c>
      <c r="D74" s="42" t="inlineStr">
        <is>
          <t>A confirmar</t>
        </is>
      </c>
      <c r="E74" s="42" t="inlineStr">
        <is>
          <t>A confirmar</t>
        </is>
      </c>
      <c r="F74" s="43" t="inlineStr">
        <is>
          <t>No aplica este mes</t>
        </is>
      </c>
      <c r="G74" s="44" t="n"/>
      <c r="H74" s="44" t="n"/>
      <c r="I74" s="44" t="n"/>
      <c r="J74" s="44" t="n"/>
      <c r="K74" s="44" t="n"/>
      <c r="L74" s="44" t="n"/>
      <c r="M74" s="44" t="n"/>
      <c r="N74" s="44" t="n"/>
      <c r="O74" s="44" t="n"/>
      <c r="P74" s="44" t="n"/>
      <c r="Q74" s="44" t="n"/>
      <c r="R74" s="44" t="n"/>
      <c r="S74" s="44" t="n"/>
      <c r="T74" s="44" t="n"/>
      <c r="U74" s="44" t="n"/>
      <c r="V74" s="44" t="n"/>
      <c r="W74" s="44" t="n"/>
      <c r="X74" s="44" t="n"/>
      <c r="Y74" s="44" t="n"/>
      <c r="Z74" s="44" t="n"/>
      <c r="AA74" s="44" t="n"/>
      <c r="AB74" s="44" t="n"/>
      <c r="AC74" s="44" t="n"/>
      <c r="AD74" s="44" t="n"/>
      <c r="AE74" s="44" t="n"/>
      <c r="AF74" s="44" t="n"/>
      <c r="AG74" s="42" t="inlineStr">
        <is>
          <t>—</t>
        </is>
      </c>
      <c r="AH74" s="42">
        <f>COUNTIF(G74:AF74,"X")</f>
        <v/>
      </c>
      <c r="AI74" s="42" t="inlineStr">
        <is>
          <t>—</t>
        </is>
      </c>
    </row>
    <row r="75">
      <c r="A75" s="39" t="inlineStr">
        <is>
          <t>Stock</t>
        </is>
      </c>
      <c r="B75" s="40" t="inlineStr">
        <is>
          <t>Impresion de Documentacion</t>
        </is>
      </c>
      <c r="C75" s="41" t="inlineStr">
        <is>
          <t>Impresion de Ordenes de Servicio</t>
        </is>
      </c>
      <c r="D75" s="42" t="inlineStr">
        <is>
          <t>Mensual</t>
        </is>
      </c>
      <c r="E75" s="42" t="n">
        <v>45</v>
      </c>
      <c r="F75" s="43" t="inlineStr">
        <is>
          <t>Fija</t>
        </is>
      </c>
      <c r="G75" s="44" t="n"/>
      <c r="H75" s="44" t="n"/>
      <c r="I75" s="44" t="n"/>
      <c r="J75" s="44" t="n"/>
      <c r="K75" s="44" t="n"/>
      <c r="L75" s="44" t="n"/>
      <c r="M75" s="44" t="n"/>
      <c r="N75" s="44" t="n"/>
      <c r="O75" s="44" t="n"/>
      <c r="P75" s="44" t="n"/>
      <c r="Q75" s="45" t="n"/>
      <c r="R75" s="44" t="n"/>
      <c r="S75" s="44" t="n"/>
      <c r="T75" s="44" t="n"/>
      <c r="U75" s="44" t="n"/>
      <c r="V75" s="44" t="n"/>
      <c r="W75" s="44" t="n"/>
      <c r="X75" s="44" t="n"/>
      <c r="Y75" s="44" t="n"/>
      <c r="Z75" s="44" t="n"/>
      <c r="AA75" s="44" t="n"/>
      <c r="AB75" s="44" t="n"/>
      <c r="AC75" s="44" t="n"/>
      <c r="AD75" s="44" t="n"/>
      <c r="AE75" s="44" t="n"/>
      <c r="AF75" s="44" t="n"/>
      <c r="AG75" s="42" t="n">
        <v>0.75</v>
      </c>
      <c r="AH75" s="42">
        <f>COUNTIF(G75:AF75,"X")*45.0/60</f>
        <v/>
      </c>
      <c r="AI75" s="42">
        <f>AH75-AG75</f>
        <v/>
      </c>
    </row>
    <row r="76">
      <c r="A76" s="39" t="inlineStr">
        <is>
          <t>Stock</t>
        </is>
      </c>
      <c r="B76" s="40" t="inlineStr">
        <is>
          <t>Control de Flota / Vehiculos</t>
        </is>
      </c>
      <c r="C76" s="41" t="inlineStr">
        <is>
          <t>Control ITV vehiculo OYS427</t>
        </is>
      </c>
      <c r="D76" s="42" t="inlineStr">
        <is>
          <t>Semestral</t>
        </is>
      </c>
      <c r="E76" s="42" t="n">
        <v>120</v>
      </c>
      <c r="F76" s="43" t="inlineStr">
        <is>
          <t>No aplica este mes</t>
        </is>
      </c>
      <c r="G76" s="44" t="n"/>
      <c r="H76" s="44" t="n"/>
      <c r="I76" s="44" t="n"/>
      <c r="J76" s="44" t="n"/>
      <c r="K76" s="44" t="n"/>
      <c r="L76" s="44" t="n"/>
      <c r="M76" s="44" t="n"/>
      <c r="N76" s="44" t="n"/>
      <c r="O76" s="44" t="n"/>
      <c r="P76" s="44" t="n"/>
      <c r="Q76" s="44" t="n"/>
      <c r="R76" s="44" t="n"/>
      <c r="S76" s="44" t="n"/>
      <c r="T76" s="44" t="n"/>
      <c r="U76" s="44" t="n"/>
      <c r="V76" s="44" t="n"/>
      <c r="W76" s="44" t="n"/>
      <c r="X76" s="44" t="n"/>
      <c r="Y76" s="44" t="n"/>
      <c r="Z76" s="44" t="n"/>
      <c r="AA76" s="44" t="n"/>
      <c r="AB76" s="44" t="n"/>
      <c r="AC76" s="44" t="n"/>
      <c r="AD76" s="44" t="n"/>
      <c r="AE76" s="44" t="n"/>
      <c r="AF76" s="44" t="n"/>
      <c r="AG76" s="42" t="inlineStr">
        <is>
          <t>—</t>
        </is>
      </c>
      <c r="AH76" s="42">
        <f>COUNTIF(G76:AF76,"X")*120.0/60</f>
        <v/>
      </c>
      <c r="AI76" s="42" t="inlineStr">
        <is>
          <t>—</t>
        </is>
      </c>
    </row>
    <row r="77">
      <c r="A77" s="39" t="inlineStr">
        <is>
          <t>Stock</t>
        </is>
      </c>
      <c r="B77" s="40" t="inlineStr">
        <is>
          <t>Control de Flota / Vehiculos</t>
        </is>
      </c>
      <c r="C77" s="41" t="inlineStr">
        <is>
          <t>Control impuestos vehiculo OYS427</t>
        </is>
      </c>
      <c r="D77" s="42" t="inlineStr">
        <is>
          <t>Semestral</t>
        </is>
      </c>
      <c r="E77" s="42" t="n">
        <v>120</v>
      </c>
      <c r="F77" s="43" t="inlineStr">
        <is>
          <t>No aplica este mes</t>
        </is>
      </c>
      <c r="G77" s="44" t="n"/>
      <c r="H77" s="44" t="n"/>
      <c r="I77" s="44" t="n"/>
      <c r="J77" s="44" t="n"/>
      <c r="K77" s="44" t="n"/>
      <c r="L77" s="44" t="n"/>
      <c r="M77" s="44" t="n"/>
      <c r="N77" s="44" t="n"/>
      <c r="O77" s="44" t="n"/>
      <c r="P77" s="44" t="n"/>
      <c r="Q77" s="44" t="n"/>
      <c r="R77" s="44" t="n"/>
      <c r="S77" s="44" t="n"/>
      <c r="T77" s="44" t="n"/>
      <c r="U77" s="44" t="n"/>
      <c r="V77" s="44" t="n"/>
      <c r="W77" s="44" t="n"/>
      <c r="X77" s="44" t="n"/>
      <c r="Y77" s="44" t="n"/>
      <c r="Z77" s="44" t="n"/>
      <c r="AA77" s="44" t="n"/>
      <c r="AB77" s="44" t="n"/>
      <c r="AC77" s="44" t="n"/>
      <c r="AD77" s="44" t="n"/>
      <c r="AE77" s="44" t="n"/>
      <c r="AF77" s="44" t="n"/>
      <c r="AG77" s="42" t="inlineStr">
        <is>
          <t>—</t>
        </is>
      </c>
      <c r="AH77" s="42">
        <f>COUNTIF(G77:AF77,"X")*120.0/60</f>
        <v/>
      </c>
      <c r="AI77" s="42" t="inlineStr">
        <is>
          <t>—</t>
        </is>
      </c>
    </row>
    <row r="78">
      <c r="A78" s="39" t="inlineStr">
        <is>
          <t>Stock</t>
        </is>
      </c>
      <c r="B78" s="40" t="inlineStr">
        <is>
          <t>Control de Flota / Vehiculos</t>
        </is>
      </c>
      <c r="C78" s="41" t="inlineStr">
        <is>
          <t>Control ITV vehiculo AE533YE</t>
        </is>
      </c>
      <c r="D78" s="42" t="inlineStr">
        <is>
          <t>Semestral</t>
        </is>
      </c>
      <c r="E78" s="42" t="n">
        <v>120</v>
      </c>
      <c r="F78" s="43" t="inlineStr">
        <is>
          <t>No aplica este mes</t>
        </is>
      </c>
      <c r="G78" s="44" t="n"/>
      <c r="H78" s="44" t="n"/>
      <c r="I78" s="44" t="n"/>
      <c r="J78" s="44" t="n"/>
      <c r="K78" s="44" t="n"/>
      <c r="L78" s="44" t="n"/>
      <c r="M78" s="44" t="n"/>
      <c r="N78" s="44" t="n"/>
      <c r="O78" s="44" t="n"/>
      <c r="P78" s="44" t="n"/>
      <c r="Q78" s="44" t="n"/>
      <c r="R78" s="44" t="n"/>
      <c r="S78" s="44" t="n"/>
      <c r="T78" s="44" t="n"/>
      <c r="U78" s="44" t="n"/>
      <c r="V78" s="44" t="n"/>
      <c r="W78" s="44" t="n"/>
      <c r="X78" s="44" t="n"/>
      <c r="Y78" s="44" t="n"/>
      <c r="Z78" s="44" t="n"/>
      <c r="AA78" s="44" t="n"/>
      <c r="AB78" s="44" t="n"/>
      <c r="AC78" s="44" t="n"/>
      <c r="AD78" s="44" t="n"/>
      <c r="AE78" s="44" t="n"/>
      <c r="AF78" s="44" t="n"/>
      <c r="AG78" s="42" t="inlineStr">
        <is>
          <t>—</t>
        </is>
      </c>
      <c r="AH78" s="42">
        <f>COUNTIF(G78:AF78,"X")*120.0/60</f>
        <v/>
      </c>
      <c r="AI78" s="42" t="inlineStr">
        <is>
          <t>—</t>
        </is>
      </c>
    </row>
    <row r="79">
      <c r="A79" s="39" t="inlineStr">
        <is>
          <t>Stock</t>
        </is>
      </c>
      <c r="B79" s="40" t="inlineStr">
        <is>
          <t>Control de Flota / Vehiculos</t>
        </is>
      </c>
      <c r="C79" s="41" t="inlineStr">
        <is>
          <t>Control impuestos vehiculo AE533YE</t>
        </is>
      </c>
      <c r="D79" s="42" t="inlineStr">
        <is>
          <t>Semestral</t>
        </is>
      </c>
      <c r="E79" s="42" t="n">
        <v>120</v>
      </c>
      <c r="F79" s="43" t="inlineStr">
        <is>
          <t>No aplica este mes</t>
        </is>
      </c>
      <c r="G79" s="44" t="n"/>
      <c r="H79" s="44" t="n"/>
      <c r="I79" s="44" t="n"/>
      <c r="J79" s="44" t="n"/>
      <c r="K79" s="44" t="n"/>
      <c r="L79" s="44" t="n"/>
      <c r="M79" s="44" t="n"/>
      <c r="N79" s="44" t="n"/>
      <c r="O79" s="44" t="n"/>
      <c r="P79" s="44" t="n"/>
      <c r="Q79" s="44" t="n"/>
      <c r="R79" s="44" t="n"/>
      <c r="S79" s="44" t="n"/>
      <c r="T79" s="44" t="n"/>
      <c r="U79" s="44" t="n"/>
      <c r="V79" s="44" t="n"/>
      <c r="W79" s="44" t="n"/>
      <c r="X79" s="44" t="n"/>
      <c r="Y79" s="44" t="n"/>
      <c r="Z79" s="44" t="n"/>
      <c r="AA79" s="44" t="n"/>
      <c r="AB79" s="44" t="n"/>
      <c r="AC79" s="44" t="n"/>
      <c r="AD79" s="44" t="n"/>
      <c r="AE79" s="44" t="n"/>
      <c r="AF79" s="44" t="n"/>
      <c r="AG79" s="42" t="inlineStr">
        <is>
          <t>—</t>
        </is>
      </c>
      <c r="AH79" s="42">
        <f>COUNTIF(G79:AF79,"X")*120.0/60</f>
        <v/>
      </c>
      <c r="AI79" s="42" t="inlineStr">
        <is>
          <t>—</t>
        </is>
      </c>
    </row>
    <row r="80">
      <c r="A80" s="39" t="inlineStr">
        <is>
          <t>Stock</t>
        </is>
      </c>
      <c r="B80" s="40" t="inlineStr">
        <is>
          <t>Control de Flota / Vehiculos</t>
        </is>
      </c>
      <c r="C80" s="41" t="inlineStr">
        <is>
          <t>Control de deudas (por vehiculo)</t>
        </is>
      </c>
      <c r="D80" s="42" t="inlineStr">
        <is>
          <t>A confirmar</t>
        </is>
      </c>
      <c r="E80" s="42" t="inlineStr">
        <is>
          <t>A confirmar</t>
        </is>
      </c>
      <c r="F80" s="43" t="inlineStr">
        <is>
          <t>No aplica este mes</t>
        </is>
      </c>
      <c r="G80" s="44" t="n"/>
      <c r="H80" s="44" t="n"/>
      <c r="I80" s="44" t="n"/>
      <c r="J80" s="44" t="n"/>
      <c r="K80" s="44" t="n"/>
      <c r="L80" s="44" t="n"/>
      <c r="M80" s="44" t="n"/>
      <c r="N80" s="44" t="n"/>
      <c r="O80" s="44" t="n"/>
      <c r="P80" s="44" t="n"/>
      <c r="Q80" s="44" t="n"/>
      <c r="R80" s="44" t="n"/>
      <c r="S80" s="44" t="n"/>
      <c r="T80" s="44" t="n"/>
      <c r="U80" s="44" t="n"/>
      <c r="V80" s="44" t="n"/>
      <c r="W80" s="44" t="n"/>
      <c r="X80" s="44" t="n"/>
      <c r="Y80" s="44" t="n"/>
      <c r="Z80" s="44" t="n"/>
      <c r="AA80" s="44" t="n"/>
      <c r="AB80" s="44" t="n"/>
      <c r="AC80" s="44" t="n"/>
      <c r="AD80" s="44" t="n"/>
      <c r="AE80" s="44" t="n"/>
      <c r="AF80" s="44" t="n"/>
      <c r="AG80" s="42" t="inlineStr">
        <is>
          <t>—</t>
        </is>
      </c>
      <c r="AH80" s="42">
        <f>COUNTIF(G80:AF80,"X")</f>
        <v/>
      </c>
      <c r="AI80" s="42" t="inlineStr">
        <is>
          <t>—</t>
        </is>
      </c>
    </row>
    <row r="81">
      <c r="A81" s="39" t="inlineStr">
        <is>
          <t>Stock</t>
        </is>
      </c>
      <c r="B81" s="40" t="inlineStr">
        <is>
          <t>Control de Flota / Vehiculos</t>
        </is>
      </c>
      <c r="C81" s="41" t="inlineStr">
        <is>
          <t>Control de multas (por vehiculo)</t>
        </is>
      </c>
      <c r="D81" s="42" t="inlineStr">
        <is>
          <t>A confirmar</t>
        </is>
      </c>
      <c r="E81" s="42" t="inlineStr">
        <is>
          <t>A confirmar</t>
        </is>
      </c>
      <c r="F81" s="43" t="inlineStr">
        <is>
          <t>No aplica este mes</t>
        </is>
      </c>
      <c r="G81" s="44" t="n"/>
      <c r="H81" s="44" t="n"/>
      <c r="I81" s="44" t="n"/>
      <c r="J81" s="44" t="n"/>
      <c r="K81" s="44" t="n"/>
      <c r="L81" s="44" t="n"/>
      <c r="M81" s="44" t="n"/>
      <c r="N81" s="44" t="n"/>
      <c r="O81" s="44" t="n"/>
      <c r="P81" s="44" t="n"/>
      <c r="Q81" s="44" t="n"/>
      <c r="R81" s="44" t="n"/>
      <c r="S81" s="44" t="n"/>
      <c r="T81" s="44" t="n"/>
      <c r="U81" s="44" t="n"/>
      <c r="V81" s="44" t="n"/>
      <c r="W81" s="44" t="n"/>
      <c r="X81" s="44" t="n"/>
      <c r="Y81" s="44" t="n"/>
      <c r="Z81" s="44" t="n"/>
      <c r="AA81" s="44" t="n"/>
      <c r="AB81" s="44" t="n"/>
      <c r="AC81" s="44" t="n"/>
      <c r="AD81" s="44" t="n"/>
      <c r="AE81" s="44" t="n"/>
      <c r="AF81" s="44" t="n"/>
      <c r="AG81" s="42" t="inlineStr">
        <is>
          <t>—</t>
        </is>
      </c>
      <c r="AH81" s="42">
        <f>COUNTIF(G81:AF81,"X")</f>
        <v/>
      </c>
      <c r="AI81" s="42" t="inlineStr">
        <is>
          <t>—</t>
        </is>
      </c>
    </row>
    <row r="82">
      <c r="A82" s="39" t="inlineStr">
        <is>
          <t>Stock</t>
        </is>
      </c>
      <c r="B82" s="40" t="inlineStr">
        <is>
          <t>Control de Flota / Vehiculos</t>
        </is>
      </c>
      <c r="C82" s="41" t="inlineStr">
        <is>
          <t>GAP: 2 vehiculos sin control asignado</t>
        </is>
      </c>
      <c r="D82" s="42" t="inlineStr">
        <is>
          <t>N/A</t>
        </is>
      </c>
      <c r="E82" s="42" t="inlineStr">
        <is>
          <t>N/A</t>
        </is>
      </c>
      <c r="F82" s="43" t="inlineStr">
        <is>
          <t>No aplica este mes</t>
        </is>
      </c>
      <c r="G82" s="44" t="n"/>
      <c r="H82" s="44" t="n"/>
      <c r="I82" s="44" t="n"/>
      <c r="J82" s="44" t="n"/>
      <c r="K82" s="44" t="n"/>
      <c r="L82" s="44" t="n"/>
      <c r="M82" s="44" t="n"/>
      <c r="N82" s="44" t="n"/>
      <c r="O82" s="44" t="n"/>
      <c r="P82" s="44" t="n"/>
      <c r="Q82" s="44" t="n"/>
      <c r="R82" s="44" t="n"/>
      <c r="S82" s="44" t="n"/>
      <c r="T82" s="44" t="n"/>
      <c r="U82" s="44" t="n"/>
      <c r="V82" s="44" t="n"/>
      <c r="W82" s="44" t="n"/>
      <c r="X82" s="44" t="n"/>
      <c r="Y82" s="44" t="n"/>
      <c r="Z82" s="44" t="n"/>
      <c r="AA82" s="44" t="n"/>
      <c r="AB82" s="44" t="n"/>
      <c r="AC82" s="44" t="n"/>
      <c r="AD82" s="44" t="n"/>
      <c r="AE82" s="44" t="n"/>
      <c r="AF82" s="44" t="n"/>
      <c r="AG82" s="42" t="inlineStr">
        <is>
          <t>—</t>
        </is>
      </c>
      <c r="AH82" s="42">
        <f>COUNTIF(G82:AF82,"X")</f>
        <v/>
      </c>
      <c r="AI82" s="42" t="inlineStr">
        <is>
          <t>—</t>
        </is>
      </c>
    </row>
    <row r="83">
      <c r="A83" s="39" t="inlineStr">
        <is>
          <t>Stock</t>
        </is>
      </c>
      <c r="B83" s="40" t="inlineStr">
        <is>
          <t>Puesta en Valor de Equipos (nombre tentativo)</t>
        </is>
      </c>
      <c r="C83" s="41" t="inlineStr">
        <is>
          <t>Recuperacion de equipos CP4000</t>
        </is>
      </c>
      <c r="D83" s="42" t="inlineStr">
        <is>
          <t>A confirmar</t>
        </is>
      </c>
      <c r="E83" s="42" t="inlineStr">
        <is>
          <t>A confirmar</t>
        </is>
      </c>
      <c r="F83" s="43" t="inlineStr">
        <is>
          <t>No aplica este mes</t>
        </is>
      </c>
      <c r="G83" s="44" t="n"/>
      <c r="H83" s="44" t="n"/>
      <c r="I83" s="44" t="n"/>
      <c r="J83" s="44" t="n"/>
      <c r="K83" s="44" t="n"/>
      <c r="L83" s="44" t="n"/>
      <c r="M83" s="44" t="n"/>
      <c r="N83" s="44" t="n"/>
      <c r="O83" s="44" t="n"/>
      <c r="P83" s="44" t="n"/>
      <c r="Q83" s="44" t="n"/>
      <c r="R83" s="44" t="n"/>
      <c r="S83" s="44" t="n"/>
      <c r="T83" s="44" t="n"/>
      <c r="U83" s="44" t="n"/>
      <c r="V83" s="44" t="n"/>
      <c r="W83" s="44" t="n"/>
      <c r="X83" s="44" t="n"/>
      <c r="Y83" s="44" t="n"/>
      <c r="Z83" s="44" t="n"/>
      <c r="AA83" s="44" t="n"/>
      <c r="AB83" s="44" t="n"/>
      <c r="AC83" s="44" t="n"/>
      <c r="AD83" s="44" t="n"/>
      <c r="AE83" s="44" t="n"/>
      <c r="AF83" s="44" t="n"/>
      <c r="AG83" s="42" t="inlineStr">
        <is>
          <t>—</t>
        </is>
      </c>
      <c r="AH83" s="42">
        <f>COUNTIF(G83:AF83,"X")</f>
        <v/>
      </c>
      <c r="AI83" s="42" t="inlineStr">
        <is>
          <t>—</t>
        </is>
      </c>
    </row>
    <row r="84">
      <c r="A84" s="39" t="inlineStr">
        <is>
          <t>Stock</t>
        </is>
      </c>
      <c r="B84" s="40" t="inlineStr">
        <is>
          <t>Puesta en Valor de Equipos (nombre tentativo)</t>
        </is>
      </c>
      <c r="C84" s="41" t="inlineStr">
        <is>
          <t>Recuperacion de equipos AXpro</t>
        </is>
      </c>
      <c r="D84" s="42" t="inlineStr">
        <is>
          <t>A confirmar</t>
        </is>
      </c>
      <c r="E84" s="42" t="inlineStr">
        <is>
          <t>A confirmar</t>
        </is>
      </c>
      <c r="F84" s="43" t="inlineStr">
        <is>
          <t>No aplica este mes</t>
        </is>
      </c>
      <c r="G84" s="44" t="n"/>
      <c r="H84" s="44" t="n"/>
      <c r="I84" s="44" t="n"/>
      <c r="J84" s="44" t="n"/>
      <c r="K84" s="44" t="n"/>
      <c r="L84" s="44" t="n"/>
      <c r="M84" s="44" t="n"/>
      <c r="N84" s="44" t="n"/>
      <c r="O84" s="44" t="n"/>
      <c r="P84" s="44" t="n"/>
      <c r="Q84" s="44" t="n"/>
      <c r="R84" s="44" t="n"/>
      <c r="S84" s="44" t="n"/>
      <c r="T84" s="44" t="n"/>
      <c r="U84" s="44" t="n"/>
      <c r="V84" s="44" t="n"/>
      <c r="W84" s="44" t="n"/>
      <c r="X84" s="44" t="n"/>
      <c r="Y84" s="44" t="n"/>
      <c r="Z84" s="44" t="n"/>
      <c r="AA84" s="44" t="n"/>
      <c r="AB84" s="44" t="n"/>
      <c r="AC84" s="44" t="n"/>
      <c r="AD84" s="44" t="n"/>
      <c r="AE84" s="44" t="n"/>
      <c r="AF84" s="44" t="n"/>
      <c r="AG84" s="42" t="inlineStr">
        <is>
          <t>—</t>
        </is>
      </c>
      <c r="AH84" s="42">
        <f>COUNTIF(G84:AF84,"X")</f>
        <v/>
      </c>
      <c r="AI84" s="42" t="inlineStr">
        <is>
          <t>—</t>
        </is>
      </c>
    </row>
    <row r="85">
      <c r="A85" s="39" t="inlineStr">
        <is>
          <t>Stock</t>
        </is>
      </c>
      <c r="B85" s="40" t="inlineStr">
        <is>
          <t>Control de Stock - Sede NCS</t>
        </is>
      </c>
      <c r="C85" s="41" t="inlineStr">
        <is>
          <t>Reposicion de Stock NCS</t>
        </is>
      </c>
      <c r="D85" s="42" t="inlineStr">
        <is>
          <t>Semanal</t>
        </is>
      </c>
      <c r="E85" s="42" t="n">
        <v>60</v>
      </c>
      <c r="F85" s="43" t="inlineStr">
        <is>
          <t>Fija</t>
        </is>
      </c>
      <c r="G85" s="44" t="n"/>
      <c r="H85" s="44" t="n"/>
      <c r="I85" s="44" t="n"/>
      <c r="J85" s="44" t="n"/>
      <c r="K85" s="45" t="n"/>
      <c r="L85" s="45" t="n"/>
      <c r="M85" s="44" t="n"/>
      <c r="N85" s="44" t="n"/>
      <c r="O85" s="44" t="n"/>
      <c r="P85" s="44" t="n"/>
      <c r="Q85" s="45" t="n"/>
      <c r="R85" s="45" t="n"/>
      <c r="S85" s="44" t="n"/>
      <c r="T85" s="44" t="n"/>
      <c r="U85" s="44" t="n"/>
      <c r="V85" s="44" t="n"/>
      <c r="W85" s="45" t="n"/>
      <c r="X85" s="45" t="n"/>
      <c r="Y85" s="44" t="n"/>
      <c r="Z85" s="44" t="n"/>
      <c r="AA85" s="44" t="n"/>
      <c r="AB85" s="44" t="n"/>
      <c r="AC85" s="45" t="n"/>
      <c r="AD85" s="45" t="n"/>
      <c r="AE85" s="44" t="n"/>
      <c r="AF85" s="44" t="n"/>
      <c r="AG85" s="42" t="n">
        <v>8</v>
      </c>
      <c r="AH85" s="42">
        <f>COUNTIF(G85:AF85,"X")*60.0/60</f>
        <v/>
      </c>
      <c r="AI85" s="42">
        <f>AH85-AG85</f>
        <v/>
      </c>
    </row>
    <row r="86">
      <c r="A86" s="39" t="inlineStr">
        <is>
          <t>Stock</t>
        </is>
      </c>
      <c r="B86" s="40" t="inlineStr">
        <is>
          <t>Control de Stock - Sede NCS</t>
        </is>
      </c>
      <c r="C86" s="41" t="inlineStr">
        <is>
          <t>Control de Stock NCS (sistema XBIS)</t>
        </is>
      </c>
      <c r="D86" s="42" t="inlineStr">
        <is>
          <t>Semanal</t>
        </is>
      </c>
      <c r="E86" s="42" t="inlineStr">
        <is>
          <t>A confirmar</t>
        </is>
      </c>
      <c r="F86" s="43" t="inlineStr">
        <is>
          <t>Fija</t>
        </is>
      </c>
      <c r="G86" s="44" t="n"/>
      <c r="H86" s="44" t="n"/>
      <c r="I86" s="44" t="n"/>
      <c r="J86" s="45" t="n"/>
      <c r="K86" s="44" t="n"/>
      <c r="L86" s="45" t="n"/>
      <c r="M86" s="44" t="n"/>
      <c r="N86" s="44" t="n"/>
      <c r="O86" s="44" t="n"/>
      <c r="P86" s="45" t="n"/>
      <c r="Q86" s="44" t="n"/>
      <c r="R86" s="45" t="n"/>
      <c r="S86" s="44" t="n"/>
      <c r="T86" s="44" t="n"/>
      <c r="U86" s="44" t="n"/>
      <c r="V86" s="45" t="n"/>
      <c r="W86" s="44" t="n"/>
      <c r="X86" s="45" t="n"/>
      <c r="Y86" s="44" t="n"/>
      <c r="Z86" s="44" t="n"/>
      <c r="AA86" s="44" t="n"/>
      <c r="AB86" s="45" t="n"/>
      <c r="AC86" s="44" t="n"/>
      <c r="AD86" s="45" t="n"/>
      <c r="AE86" s="44" t="n"/>
      <c r="AF86" s="44" t="n"/>
      <c r="AG86" s="42" t="inlineStr">
        <is>
          <t>—</t>
        </is>
      </c>
      <c r="AH86" s="42">
        <f>COUNTIF(G86:AF86,"X")</f>
        <v/>
      </c>
      <c r="AI86" s="42" t="inlineStr">
        <is>
          <t>—</t>
        </is>
      </c>
    </row>
    <row r="87">
      <c r="A87" s="39" t="inlineStr">
        <is>
          <t>Stock</t>
        </is>
      </c>
      <c r="B87" s="40" t="inlineStr">
        <is>
          <t>Control de Stock - Sede NCS</t>
        </is>
      </c>
      <c r="C87" s="41" t="inlineStr">
        <is>
          <t>Control de Stock NCS (sistema EZLink)</t>
        </is>
      </c>
      <c r="D87" s="42" t="inlineStr">
        <is>
          <t>Semanal</t>
        </is>
      </c>
      <c r="E87" s="42" t="inlineStr">
        <is>
          <t>A confirmar</t>
        </is>
      </c>
      <c r="F87" s="43" t="inlineStr">
        <is>
          <t>Fija</t>
        </is>
      </c>
      <c r="G87" s="44" t="n"/>
      <c r="H87" s="44" t="n"/>
      <c r="I87" s="44" t="n"/>
      <c r="J87" s="45" t="n"/>
      <c r="K87" s="44" t="n"/>
      <c r="L87" s="45" t="n"/>
      <c r="M87" s="44" t="n"/>
      <c r="N87" s="44" t="n"/>
      <c r="O87" s="44" t="n"/>
      <c r="P87" s="45" t="n"/>
      <c r="Q87" s="44" t="n"/>
      <c r="R87" s="45" t="n"/>
      <c r="S87" s="44" t="n"/>
      <c r="T87" s="44" t="n"/>
      <c r="U87" s="44" t="n"/>
      <c r="V87" s="45" t="n"/>
      <c r="W87" s="44" t="n"/>
      <c r="X87" s="45" t="n"/>
      <c r="Y87" s="44" t="n"/>
      <c r="Z87" s="44" t="n"/>
      <c r="AA87" s="44" t="n"/>
      <c r="AB87" s="45" t="n"/>
      <c r="AC87" s="44" t="n"/>
      <c r="AD87" s="45" t="n"/>
      <c r="AE87" s="44" t="n"/>
      <c r="AF87" s="44" t="n"/>
      <c r="AG87" s="42" t="inlineStr">
        <is>
          <t>—</t>
        </is>
      </c>
      <c r="AH87" s="42">
        <f>COUNTIF(G87:AF87,"X")</f>
        <v/>
      </c>
      <c r="AI87" s="42" t="inlineStr">
        <is>
          <t>—</t>
        </is>
      </c>
    </row>
    <row r="88">
      <c r="A88" s="39" t="inlineStr">
        <is>
          <t>Stock</t>
        </is>
      </c>
      <c r="B88" s="40" t="inlineStr">
        <is>
          <t>Control de Receptoras</t>
        </is>
      </c>
      <c r="C88" s="41" t="inlineStr">
        <is>
          <t>Control de buen estado receptoras IPR512 (R-04)</t>
        </is>
      </c>
      <c r="D88" s="42" t="inlineStr">
        <is>
          <t>Diario</t>
        </is>
      </c>
      <c r="E88" s="42" t="n">
        <v>10</v>
      </c>
      <c r="F88" s="43" t="inlineStr">
        <is>
          <t>Fija</t>
        </is>
      </c>
      <c r="G88" s="44" t="n"/>
      <c r="H88" s="44" t="n"/>
      <c r="I88" s="44" t="n"/>
      <c r="J88" s="44" t="n"/>
      <c r="K88" s="44" t="n"/>
      <c r="L88" s="45" t="n"/>
      <c r="M88" s="44" t="n"/>
      <c r="N88" s="44" t="n"/>
      <c r="O88" s="44" t="n"/>
      <c r="P88" s="44" t="n"/>
      <c r="Q88" s="44" t="n"/>
      <c r="R88" s="45" t="n"/>
      <c r="S88" s="44" t="n"/>
      <c r="T88" s="44" t="n"/>
      <c r="U88" s="44" t="n"/>
      <c r="V88" s="44" t="n"/>
      <c r="W88" s="44" t="n"/>
      <c r="X88" s="45" t="n"/>
      <c r="Y88" s="44" t="n"/>
      <c r="Z88" s="44" t="n"/>
      <c r="AA88" s="44" t="n"/>
      <c r="AB88" s="44" t="n"/>
      <c r="AC88" s="44" t="n"/>
      <c r="AD88" s="45" t="n"/>
      <c r="AE88" s="44" t="n"/>
      <c r="AF88" s="44" t="n"/>
      <c r="AG88" s="42" t="n">
        <v>0.67</v>
      </c>
      <c r="AH88" s="42">
        <f>COUNTIF(G88:AF88,"X")*10.0/60</f>
        <v/>
      </c>
      <c r="AI88" s="42">
        <f>AH88-AG88</f>
        <v/>
      </c>
    </row>
    <row r="89">
      <c r="A89" s="39" t="inlineStr">
        <is>
          <t>Stock</t>
        </is>
      </c>
      <c r="B89" s="40" t="inlineStr">
        <is>
          <t>Control de Receptoras</t>
        </is>
      </c>
      <c r="C89" s="41" t="inlineStr">
        <is>
          <t>Mandar mensajes a AVATEC 01</t>
        </is>
      </c>
      <c r="D89" s="42" t="inlineStr">
        <is>
          <t>Diario</t>
        </is>
      </c>
      <c r="E89" s="42" t="n">
        <v>10</v>
      </c>
      <c r="F89" s="43" t="inlineStr">
        <is>
          <t>Fija</t>
        </is>
      </c>
      <c r="G89" s="44" t="n"/>
      <c r="H89" s="44" t="n"/>
      <c r="I89" s="44" t="n"/>
      <c r="J89" s="44" t="n"/>
      <c r="K89" s="44" t="n"/>
      <c r="L89" s="45" t="n"/>
      <c r="M89" s="44" t="n"/>
      <c r="N89" s="44" t="n"/>
      <c r="O89" s="44" t="n"/>
      <c r="P89" s="44" t="n"/>
      <c r="Q89" s="44" t="n"/>
      <c r="R89" s="45" t="n"/>
      <c r="S89" s="44" t="n"/>
      <c r="T89" s="44" t="n"/>
      <c r="U89" s="44" t="n"/>
      <c r="V89" s="44" t="n"/>
      <c r="W89" s="44" t="n"/>
      <c r="X89" s="45" t="n"/>
      <c r="Y89" s="44" t="n"/>
      <c r="Z89" s="44" t="n"/>
      <c r="AA89" s="44" t="n"/>
      <c r="AB89" s="44" t="n"/>
      <c r="AC89" s="44" t="n"/>
      <c r="AD89" s="45" t="n"/>
      <c r="AE89" s="44" t="n"/>
      <c r="AF89" s="44" t="n"/>
      <c r="AG89" s="42" t="n">
        <v>0.67</v>
      </c>
      <c r="AH89" s="42">
        <f>COUNTIF(G89:AF89,"X")*10.0/60</f>
        <v/>
      </c>
      <c r="AI89" s="42">
        <f>AH89-AG89</f>
        <v/>
      </c>
    </row>
    <row r="90">
      <c r="A90" s="39" t="inlineStr">
        <is>
          <t>Stock</t>
        </is>
      </c>
      <c r="B90" s="40" t="inlineStr">
        <is>
          <t>Control de Receptoras</t>
        </is>
      </c>
      <c r="C90" s="41" t="inlineStr">
        <is>
          <t>GAP: protocolo cuando una receptora no funciona</t>
        </is>
      </c>
      <c r="D90" s="42" t="inlineStr">
        <is>
          <t>N/A</t>
        </is>
      </c>
      <c r="E90" s="42" t="inlineStr">
        <is>
          <t>N/A</t>
        </is>
      </c>
      <c r="F90" s="43" t="inlineStr">
        <is>
          <t>No aplica este mes</t>
        </is>
      </c>
      <c r="G90" s="44" t="n"/>
      <c r="H90" s="44" t="n"/>
      <c r="I90" s="44" t="n"/>
      <c r="J90" s="44" t="n"/>
      <c r="K90" s="44" t="n"/>
      <c r="L90" s="44" t="n"/>
      <c r="M90" s="44" t="n"/>
      <c r="N90" s="44" t="n"/>
      <c r="O90" s="44" t="n"/>
      <c r="P90" s="44" t="n"/>
      <c r="Q90" s="44" t="n"/>
      <c r="R90" s="44" t="n"/>
      <c r="S90" s="44" t="n"/>
      <c r="T90" s="44" t="n"/>
      <c r="U90" s="44" t="n"/>
      <c r="V90" s="44" t="n"/>
      <c r="W90" s="44" t="n"/>
      <c r="X90" s="44" t="n"/>
      <c r="Y90" s="44" t="n"/>
      <c r="Z90" s="44" t="n"/>
      <c r="AA90" s="44" t="n"/>
      <c r="AB90" s="44" t="n"/>
      <c r="AC90" s="44" t="n"/>
      <c r="AD90" s="44" t="n"/>
      <c r="AE90" s="44" t="n"/>
      <c r="AF90" s="44" t="n"/>
      <c r="AG90" s="42" t="inlineStr">
        <is>
          <t>—</t>
        </is>
      </c>
      <c r="AH90" s="42">
        <f>COUNTIF(G90:AF90,"X")</f>
        <v/>
      </c>
      <c r="AI90" s="42" t="inlineStr">
        <is>
          <t>—</t>
        </is>
      </c>
    </row>
    <row r="91">
      <c r="A91" s="39" t="inlineStr">
        <is>
          <t>Stock</t>
        </is>
      </c>
      <c r="B91" s="40" t="inlineStr">
        <is>
          <t>Control de Carteleria</t>
        </is>
      </c>
      <c r="C91" s="41" t="inlineStr">
        <is>
          <t>Control de carteleria</t>
        </is>
      </c>
      <c r="D91" s="42" t="inlineStr">
        <is>
          <t>Mensual</t>
        </is>
      </c>
      <c r="E91" s="42" t="n">
        <v>5</v>
      </c>
      <c r="F91" s="43" t="inlineStr">
        <is>
          <t>Fija</t>
        </is>
      </c>
      <c r="G91" s="45" t="n"/>
      <c r="H91" s="44" t="n"/>
      <c r="I91" s="44" t="n"/>
      <c r="J91" s="44" t="n"/>
      <c r="K91" s="44" t="n"/>
      <c r="L91" s="44" t="n"/>
      <c r="M91" s="44" t="n"/>
      <c r="N91" s="44" t="n"/>
      <c r="O91" s="44" t="n"/>
      <c r="P91" s="44" t="n"/>
      <c r="Q91" s="44" t="n"/>
      <c r="R91" s="44" t="n"/>
      <c r="S91" s="44" t="n"/>
      <c r="T91" s="44" t="n"/>
      <c r="U91" s="44" t="n"/>
      <c r="V91" s="44" t="n"/>
      <c r="W91" s="44" t="n"/>
      <c r="X91" s="44" t="n"/>
      <c r="Y91" s="44" t="n"/>
      <c r="Z91" s="44" t="n"/>
      <c r="AA91" s="44" t="n"/>
      <c r="AB91" s="44" t="n"/>
      <c r="AC91" s="44" t="n"/>
      <c r="AD91" s="44" t="n"/>
      <c r="AE91" s="44" t="n"/>
      <c r="AF91" s="44" t="n"/>
      <c r="AG91" s="42" t="n">
        <v>0.08</v>
      </c>
      <c r="AH91" s="42">
        <f>COUNTIF(G91:AF91,"X")*5.0/60</f>
        <v/>
      </c>
      <c r="AI91" s="42">
        <f>AH91-AG91</f>
        <v/>
      </c>
    </row>
    <row r="93">
      <c r="A93" s="47" t="inlineStr">
        <is>
          <t>Carga estimada vs. capacidad disponible por día</t>
        </is>
      </c>
    </row>
    <row r="94">
      <c r="A94" s="48" t="inlineStr">
        <is>
          <t>Minutos asignados ese día (tareas de frecuencia fija)</t>
        </is>
      </c>
      <c r="G94" s="49" t="n">
        <v>120</v>
      </c>
      <c r="H94" s="49" t="n">
        <v>190</v>
      </c>
      <c r="I94" s="49" t="n">
        <v>90</v>
      </c>
      <c r="J94" s="49" t="n">
        <v>60</v>
      </c>
      <c r="K94" s="49" t="n">
        <v>265</v>
      </c>
      <c r="L94" s="49" t="n">
        <v>500</v>
      </c>
      <c r="M94" s="49" t="n">
        <v>55</v>
      </c>
      <c r="N94" s="49" t="n">
        <v>190</v>
      </c>
      <c r="O94" s="49" t="n">
        <v>90</v>
      </c>
      <c r="P94" s="49" t="n">
        <v>60</v>
      </c>
      <c r="Q94" s="49" t="n">
        <v>325</v>
      </c>
      <c r="R94" s="49" t="n">
        <v>500</v>
      </c>
      <c r="S94" s="49" t="n">
        <v>55</v>
      </c>
      <c r="T94" s="49" t="n">
        <v>190</v>
      </c>
      <c r="U94" s="49" t="n">
        <v>90</v>
      </c>
      <c r="V94" s="49" t="n">
        <v>60</v>
      </c>
      <c r="W94" s="49" t="n">
        <v>265</v>
      </c>
      <c r="X94" s="49" t="n">
        <v>500</v>
      </c>
      <c r="Y94" s="49" t="n">
        <v>55</v>
      </c>
      <c r="Z94" s="49" t="n">
        <v>190</v>
      </c>
      <c r="AA94" s="49" t="n">
        <v>90</v>
      </c>
      <c r="AB94" s="49" t="n">
        <v>200</v>
      </c>
      <c r="AC94" s="49" t="n">
        <v>280</v>
      </c>
      <c r="AD94" s="49" t="n">
        <v>500</v>
      </c>
      <c r="AE94" s="49" t="n">
        <v>55</v>
      </c>
      <c r="AF94" s="49" t="n">
        <v>250</v>
      </c>
    </row>
    <row r="95">
      <c r="A95" s="48" t="inlineStr">
        <is>
          <t>Capacidad disponible ese día (min)</t>
        </is>
      </c>
      <c r="G95" s="49" t="n">
        <v>240</v>
      </c>
      <c r="H95" s="49" t="n">
        <v>480</v>
      </c>
      <c r="I95" s="49" t="n">
        <v>480</v>
      </c>
      <c r="J95" s="49" t="n">
        <v>480</v>
      </c>
      <c r="K95" s="49" t="n">
        <v>480</v>
      </c>
      <c r="L95" s="49" t="n">
        <v>480</v>
      </c>
      <c r="M95" s="49" t="n">
        <v>240</v>
      </c>
      <c r="N95" s="49" t="n">
        <v>480</v>
      </c>
      <c r="O95" s="49" t="n">
        <v>480</v>
      </c>
      <c r="P95" s="49" t="n">
        <v>480</v>
      </c>
      <c r="Q95" s="49" t="n">
        <v>480</v>
      </c>
      <c r="R95" s="49" t="n">
        <v>480</v>
      </c>
      <c r="S95" s="49" t="n">
        <v>240</v>
      </c>
      <c r="T95" s="49" t="n">
        <v>480</v>
      </c>
      <c r="U95" s="49" t="n">
        <v>480</v>
      </c>
      <c r="V95" s="49" t="n">
        <v>480</v>
      </c>
      <c r="W95" s="49" t="n">
        <v>480</v>
      </c>
      <c r="X95" s="49" t="n">
        <v>480</v>
      </c>
      <c r="Y95" s="49" t="n">
        <v>240</v>
      </c>
      <c r="Z95" s="49" t="n">
        <v>480</v>
      </c>
      <c r="AA95" s="49" t="n">
        <v>480</v>
      </c>
      <c r="AB95" s="49" t="n">
        <v>480</v>
      </c>
      <c r="AC95" s="49" t="n">
        <v>480</v>
      </c>
      <c r="AD95" s="49" t="n">
        <v>480</v>
      </c>
      <c r="AE95" s="49" t="n">
        <v>240</v>
      </c>
      <c r="AF95" s="49" t="n">
        <v>480</v>
      </c>
    </row>
    <row r="96">
      <c r="A96" s="50" t="inlineStr">
        <is>
          <t>Saldo (min) — negativo = sobrecarga ese día</t>
        </is>
      </c>
      <c r="G96" s="51">
        <f>G95-G94</f>
        <v/>
      </c>
      <c r="H96" s="51">
        <f>H95-H94</f>
        <v/>
      </c>
      <c r="I96" s="51">
        <f>I95-I94</f>
        <v/>
      </c>
      <c r="J96" s="51">
        <f>J95-J94</f>
        <v/>
      </c>
      <c r="K96" s="51">
        <f>K95-K94</f>
        <v/>
      </c>
      <c r="L96" s="51">
        <f>L95-L94</f>
        <v/>
      </c>
      <c r="M96" s="51">
        <f>M95-M94</f>
        <v/>
      </c>
      <c r="N96" s="51">
        <f>N95-N94</f>
        <v/>
      </c>
      <c r="O96" s="51">
        <f>O95-O94</f>
        <v/>
      </c>
      <c r="P96" s="51">
        <f>P95-P94</f>
        <v/>
      </c>
      <c r="Q96" s="51">
        <f>Q95-Q94</f>
        <v/>
      </c>
      <c r="R96" s="51">
        <f>R95-R94</f>
        <v/>
      </c>
      <c r="S96" s="51">
        <f>S95-S94</f>
        <v/>
      </c>
      <c r="T96" s="51">
        <f>T95-T94</f>
        <v/>
      </c>
      <c r="U96" s="51">
        <f>U95-U94</f>
        <v/>
      </c>
      <c r="V96" s="51">
        <f>V95-V94</f>
        <v/>
      </c>
      <c r="W96" s="51">
        <f>W95-W94</f>
        <v/>
      </c>
      <c r="X96" s="51">
        <f>X95-X94</f>
        <v/>
      </c>
      <c r="Y96" s="51">
        <f>Y95-Y94</f>
        <v/>
      </c>
      <c r="Z96" s="51">
        <f>Z95-Z94</f>
        <v/>
      </c>
      <c r="AA96" s="51">
        <f>AA95-AA94</f>
        <v/>
      </c>
      <c r="AB96" s="51">
        <f>AB95-AB94</f>
        <v/>
      </c>
      <c r="AC96" s="51">
        <f>AC95-AC94</f>
        <v/>
      </c>
      <c r="AD96" s="51">
        <f>AD95-AD94</f>
        <v/>
      </c>
      <c r="AE96" s="51">
        <f>AE95-AE94</f>
        <v/>
      </c>
      <c r="AF96" s="51">
        <f>AF95-AF94</f>
        <v/>
      </c>
    </row>
  </sheetData>
  <conditionalFormatting sqref="G96:AF96">
    <cfRule type="expression" priority="1" dxfId="0">
      <formula>G96&lt;0</formula>
    </cfRule>
    <cfRule type="expression" priority="2" dxfId="1">
      <formula>G96&gt;=0</formula>
    </cfRule>
  </conditionalFormatting>
  <conditionalFormatting sqref="G2:AF91">
    <cfRule type="expression" priority="3" dxfId="2">
      <formula>G2="X"</formula>
    </cfRule>
    <cfRule type="expression" priority="4" dxfId="3">
      <formula>G2="-"</formula>
    </cfRule>
  </conditionalFormatting>
  <dataValidations count="1">
    <dataValidation sqref="G3 G4 G6 G7 G8 G9 G10 G11 G12 G13 G14 G15 G16 G17 G18 G20 G22 G23 G24 G25 G27 G28 G29 G30 G31 G33 G34 G35 G36 G38 G39 G40 G41 G42 G43 G45 G46 G47 G48 G49 G50 G52 G53 G54 G55 G57 G58 G59 G60 G61 G62 G63 G64 G65 G66 G67 G68 G69 G70 G71 G72 G73 G74 G75 G76 G77 G78 G79 G80 G81 G82 G83 G84 G85 G86 G87 G88 G89 G90 G91 H3 H4 H6 H7 H8 H9 H10 H11 H12 H13 H14 H15 H16 H17 H18 H20 H22 H23 H24 H25 H27 H28 H29 H30 H31 H33 H34 H35 H36 H38 H39 H40 H41 H42 H43 H45 H46 H47 H48 H49 H50 H52 H53 H54 H55 H57 H58 H59 H60 H61 H62 H63 H64 H65 H66 H67 H68 H69 H70 H71 H72 H73 H74 H75 H76 H77 H78 H79 H80 H81 H82 H83 H84 H85 H86 H87 H88 H89 H90 H91 I3 I4 I6 I7 I8 I9 I10 I11 I12 I13 I14 I15 I16 I17 I18 I20 I22 I23 I24 I25 I27 I28 I29 I30 I31 I33 I34 I35 I36 I38 I39 I40 I41 I42 I43 I45 I46 I47 I48 I49 I50 I52 I53 I54 I55 I57 I58 I59 I60 I61 I62 I63 I64 I65 I66 I67 I68 I69 I70 I71 I72 I73 I74 I75 I76 I77 I78 I79 I80 I81 I82 I83 I84 I85 I86 I87 I88 I89 I90 I91 J3 J4 J6 J7 J8 J9 J10 J11 J12 J13 J14 J15 J16 J17 J18 J20 J22 J23 J24 J25 J27 J28 J29 J30 J31 J33 J34 J35 J36 J38 J39 J40 J41 J42 J43 J45 J46 J47 J48 J49 J50 J52 J53 J54 J55 J57 J58 J59 J60 J61 J62 J63 J64 J65 J66 J67 J68 J69 J70 J71 J72 J73 J74 J75 J76 J77 J78 J79 J80 J81 J82 J83 J84 J85 J86 J87 J88 J89 J90 J91 K3 K4 K6 K7 K8 K9 K10 K11 K12 K13 K14 K15 K16 K17 K18 K20 K22 K23 K24 K25 K27 K28 K29 K30 K31 K33 K34 K35 K36 K38 K39 K40 K41 K42 K43 K45 K46 K47 K48 K49 K50 K52 K53 K54 K55 K57 K58 K59 K60 K61 K62 K63 K64 K65 K66 K67 K68 K69 K70 K71 K72 K73 K74 K75 K76 K77 K78 K79 K80 K81 K82 K83 K84 K85 K86 K87 K88 K89 K90 K91 L3 L4 L6 L7 L8 L9 L10 L11 L12 L13 L14 L15 L16 L17 L18 L20 L22 L23 L24 L25 L27 L28 L29 L30 L31 L33 L34 L35 L36 L38 L39 L40 L41 L42 L43 L45 L46 L47 L48 L49 L50 L52 L53 L54 L55 L57 L58 L59 L60 L61 L62 L63 L64 L65 L66 L67 L68 L69 L70 L71 L72 L73 L74 L75 L76 L77 L78 L79 L80 L81 L82 L83 L84 L85 L86 L87 L88 L89 L90 L91 M3 M4 M6 M7 M8 M9 M10 M11 M12 M13 M14 M15 M16 M17 M18 M20 M22 M23 M24 M25 M27 M28 M29 M30 M31 M33 M34 M35 M36 M38 M39 M40 M41 M42 M43 M45 M46 M47 M48 M49 M50 M52 M53 M54 M55 M57 M58 M59 M60 M61 M62 M63 M64 M65 M66 M67 M68 M69 M70 M71 M72 M73 M74 M75 M76 M77 M78 M79 M80 M81 M82 M83 M84 M85 M86 M87 M88 M89 M90 M91 N3 N4 N6 N7 N8 N9 N10 N11 N12 N13 N14 N15 N16 N17 N18 N20 N22 N23 N24 N25 N27 N28 N29 N30 N31 N33 N34 N35 N36 N38 N39 N40 N41 N42 N43 N45 N46 N47 N48 N49 N50 N52 N53 N54 N55 N57 N58 N59 N60 N61 N62 N63 N64 N65 N66 N67 N68 N69 N70 N71 N72 N73 N74 N75 N76 N77 N78 N79 N80 N81 N82 N83 N84 N85 N86 N87 N88 N89 N90 N91 O3 O4 O6 O7 O8 O9 O10 O11 O12 O13 O14 O15 O16 O17 O18 O20 O22 O23 O24 O25 O27 O28 O29 O30 O31 O33 O34 O35 O36 O38 O39 O40 O41 O42 O43 O45 O46 O47 O48 O49 O50 O52 O53 O54 O55 O57 O58 O59 O60 O61 O62 O63 O64 O65 O66 O67 O68 O69 O70 O71 O72 O73 O74 O75 O76 O77 O78 O79 O80 O81 O82 O83 O84 O85 O86 O87 O88 O89 O90 O91 P3 P4 P6 P7 P8 P9 P10 P11 P12 P13 P14 P15 P16 P17 P18 P20 P22 P23 P24 P25 P27 P28 P29 P30 P31 P33 P34 P35 P36 P38 P39 P40 P41 P42 P43 P45 P46 P47 P48 P49 P50 P52 P53 P54 P55 P57 P58 P59 P60 P61 P62 P63 P64 P65 P66 P67 P68 P69 P70 P71 P72 P73 P74 P75 P76 P77 P78 P79 P80 P81 P82 P83 P84 P85 P86 P87 P88 P89 P90 P91 Q3 Q4 Q6 Q7 Q8 Q9 Q10 Q11 Q12 Q13 Q14 Q15 Q16 Q17 Q18 Q20 Q22 Q23 Q24 Q25 Q27 Q28 Q29 Q30 Q31 Q33 Q34 Q35 Q36 Q38 Q39 Q40 Q41 Q42 Q43 Q45 Q46 Q47 Q48 Q49 Q50 Q52 Q53 Q54 Q55 Q57 Q58 Q59 Q60 Q61 Q62 Q63 Q64 Q65 Q66 Q67 Q68 Q69 Q70 Q71 Q72 Q73 Q74 Q75 Q76 Q77 Q78 Q79 Q80 Q81 Q82 Q83 Q84 Q85 Q86 Q87 Q88 Q89 Q90 Q91 R3 R4 R6 R7 R8 R9 R10 R11 R12 R13 R14 R15 R16 R17 R18 R20 R22 R23 R24 R25 R27 R28 R29 R30 R31 R33 R34 R35 R36 R38 R39 R40 R41 R42 R43 R45 R46 R47 R48 R49 R50 R52 R53 R54 R55 R57 R58 R59 R60 R61 R62 R63 R64 R65 R66 R67 R68 R69 R70 R71 R72 R73 R74 R75 R76 R77 R78 R79 R80 R81 R82 R83 R84 R85 R86 R87 R88 R89 R90 R91 S3 S4 S6 S7 S8 S9 S10 S11 S12 S13 S14 S15 S16 S17 S18 S20 S22 S23 S24 S25 S27 S28 S29 S30 S31 S33 S34 S35 S36 S38 S39 S40 S41 S42 S43 S45 S46 S47 S48 S49 S50 S52 S53 S54 S55 S57 S58 S59 S60 S61 S62 S63 S64 S65 S66 S67 S68 S69 S70 S71 S72 S73 S74 S75 S76 S77 S78 S79 S80 S81 S82 S83 S84 S85 S86 S87 S88 S89 S90 S91 T3 T4 T6 T7 T8 T9 T10 T11 T12 T13 T14 T15 T16 T17 T18 T20 T22 T23 T24 T25 T27 T28 T29 T30 T31 T33 T34 T35 T36 T38 T39 T40 T41 T42 T43 T45 T46 T47 T48 T49 T50 T52 T53 T54 T55 T57 T58 T59 T60 T61 T62 T63 T64 T65 T66 T67 T68 T69 T70 T71 T72 T73 T74 T75 T76 T77 T78 T79 T80 T81 T82 T83 T84 T85 T86 T87 T88 T89 T90 T91 U3 U4 U6 U7 U8 U9 U10 U11 U12 U13 U14 U15 U16 U17 U18 U20 U22 U23 U24 U25 U27 U28 U29 U30 U31 U33 U34 U35 U36 U38 U39 U40 U41 U42 U43 U45 U46 U47 U48 U49 U50 U52 U53 U54 U55 U57 U58 U59 U60 U61 U62 U63 U64 U65 U66 U67 U68 U69 U70 U71 U72 U73 U74 U75 U76 U77 U78 U79 U80 U81 U82 U83 U84 U85 U86 U87 U88 U89 U90 U91 V3 V4 V6 V7 V8 V9 V10 V11 V12 V13 V14 V15 V16 V17 V18 V20 V22 V23 V24 V25 V27 V28 V29 V30 V31 V33 V34 V35 V36 V38 V39 V40 V41 V42 V43 V45 V46 V47 V48 V49 V50 V52 V53 V54 V55 V57 V58 V59 V60 V61 V62 V63 V64 V65 V66 V67 V68 V69 V70 V71 V72 V73 V74 V75 V76 V77 V78 V79 V80 V81 V82 V83 V84 V85 V86 V87 V88 V89 V90 V91 W3 W4 W6 W7 W8 W9 W10 W11 W12 W13 W14 W15 W16 W17 W18 W20 W22 W23 W24 W25 W27 W28 W29 W30 W31 W33 W34 W35 W36 W38 W39 W40 W41 W42 W43 W45 W46 W47 W48 W49 W50 W52 W53 W54 W55 W57 W58 W59 W60 W61 W62 W63 W64 W65 W66 W67 W68 W69 W70 W71 W72 W73 W74 W75 W76 W77 W78 W79 W80 W81 W82 W83 W84 W85 W86 W87 W88 W89 W90 W91 X3 X4 X6 X7 X8 X9 X10 X11 X12 X13 X14 X15 X16 X17 X18 X20 X22 X23 X24 X25 X27 X28 X29 X30 X31 X33 X34 X35 X36 X38 X39 X40 X41 X42 X43 X45 X46 X47 X48 X49 X50 X52 X53 X54 X55 X57 X58 X59 X60 X61 X62 X63 X64 X65 X66 X67 X68 X69 X70 X71 X72 X73 X74 X75 X76 X77 X78 X79 X80 X81 X82 X83 X84 X85 X86 X87 X88 X89 X90 X91 Y3 Y4 Y6 Y7 Y8 Y9 Y10 Y11 Y12 Y13 Y14 Y15 Y16 Y17 Y18 Y20 Y22 Y23 Y24 Y25 Y27 Y28 Y29 Y30 Y31 Y33 Y34 Y35 Y36 Y38 Y39 Y40 Y41 Y42 Y43 Y45 Y46 Y47 Y48 Y49 Y50 Y52 Y53 Y54 Y55 Y57 Y58 Y59 Y60 Y61 Y62 Y63 Y64 Y65 Y66 Y67 Y68 Y69 Y70 Y71 Y72 Y73 Y74 Y75 Y76 Y77 Y78 Y79 Y80 Y81 Y82 Y83 Y84 Y85 Y86 Y87 Y88 Y89 Y90 Y91 Z3 Z4 Z6 Z7 Z8 Z9 Z10 Z11 Z12 Z13 Z14 Z15 Z16 Z17 Z18 Z20 Z22 Z23 Z24 Z25 Z27 Z28 Z29 Z30 Z31 Z33 Z34 Z35 Z36 Z38 Z39 Z40 Z41 Z42 Z43 Z45 Z46 Z47 Z48 Z49 Z50 Z52 Z53 Z54 Z55 Z57 Z58 Z59 Z60 Z61 Z62 Z63 Z64 Z65 Z66 Z67 Z68 Z69 Z70 Z71 Z72 Z73 Z74 Z75 Z76 Z77 Z78 Z79 Z80 Z81 Z82 Z83 Z84 Z85 Z86 Z87 Z88 Z89 Z90 Z91 AA3 AA4 AA6 AA7 AA8 AA9 AA10 AA11 AA12 AA13 AA14 AA15 AA16 AA17 AA18 AA20 AA22 AA23 AA24 AA25 AA27 AA28 AA29 AA30 AA31 AA33 AA34 AA35 AA36 AA38 AA39 AA40 AA41 AA42 AA43 AA45 AA46 AA47 AA48 AA49 AA50 AA52 AA53 AA54 AA55 AA57 AA58 AA59 AA60 AA61 AA62 AA63 AA64 AA65 AA66 AA67 AA68 AA69 AA70 AA71 AA72 AA73 AA74 AA75 AA76 AA77 AA78 AA79 AA80 AA81 AA82 AA83 AA84 AA85 AA86 AA87 AA88 AA89 AA90 AA91 AB3 AB4 AB6 AB7 AB8 AB9 AB10 AB11 AB12 AB13 AB14 AB15 AB16 AB17 AB18 AB20 AB22 AB23 AB24 AB25 AB27 AB28 AB29 AB30 AB31 AB33 AB34 AB35 AB36 AB38 AB39 AB40 AB41 AB42 AB43 AB45 AB46 AB47 AB48 AB49 AB50 AB52 AB53 AB54 AB55 AB57 AB58 AB59 AB60 AB61 AB62 AB63 AB64 AB65 AB66 AB67 AB68 AB69 AB70 AB71 AB72 AB73 AB74 AB75 AB76 AB77 AB78 AB79 AB80 AB81 AB82 AB83 AB84 AB85 AB86 AB87 AB88 AB89 AB90 AB91 AC3 AC4 AC6 AC7 AC8 AC9 AC10 AC11 AC12 AC13 AC14 AC15 AC16 AC17 AC18 AC20 AC22 AC23 AC24 AC25 AC27 AC28 AC29 AC30 AC31 AC33 AC34 AC35 AC36 AC38 AC39 AC40 AC41 AC42 AC43 AC45 AC46 AC47 AC48 AC49 AC50 AC52 AC53 AC54 AC55 AC57 AC58 AC59 AC60 AC61 AC62 AC63 AC64 AC65 AC66 AC67 AC68 AC69 AC70 AC71 AC72 AC73 AC74 AC75 AC76 AC77 AC78 AC79 AC80 AC81 AC82 AC83 AC84 AC85 AC86 AC87 AC88 AC89 AC90 AC91 AD3 AD4 AD6 AD7 AD8 AD9 AD10 AD11 AD12 AD13 AD14 AD15 AD16 AD17 AD18 AD20 AD22 AD23 AD24 AD25 AD27 AD28 AD29 AD30 AD31 AD33 AD34 AD35 AD36 AD38 AD39 AD40 AD41 AD42 AD43 AD45 AD46 AD47 AD48 AD49 AD50 AD52 AD53 AD54 AD55 AD57 AD58 AD59 AD60 AD61 AD62 AD63 AD64 AD65 AD66 AD67 AD68 AD69 AD70 AD71 AD72 AD73 AD74 AD75 AD76 AD77 AD78 AD79 AD80 AD81 AD82 AD83 AD84 AD85 AD86 AD87 AD88 AD89 AD90 AD91 AE3 AE4 AE6 AE7 AE8 AE9 AE10 AE11 AE12 AE13 AE14 AE15 AE16 AE17 AE18 AE20 AE22 AE23 AE24 AE25 AE27 AE28 AE29 AE30 AE31 AE33 AE34 AE35 AE36 AE38 AE39 AE40 AE41 AE42 AE43 AE45 AE46 AE47 AE48 AE49 AE50 AE52 AE53 AE54 AE55 AE57 AE58 AE59 AE60 AE61 AE62 AE63 AE64 AE65 AE66 AE67 AE68 AE69 AE70 AE71 AE72 AE73 AE74 AE75 AE76 AE77 AE78 AE79 AE80 AE81 AE82 AE83 AE84 AE85 AE86 AE87 AE88 AE89 AE90 AE91 AF3 AF4 AF6 AF7 AF8 AF9 AF10 AF11 AF12 AF13 AF14 AF15 AF16 AF17 AF18 AF20 AF22 AF23 AF24 AF25 AF27 AF28 AF29 AF30 AF31 AF33 AF34 AF35 AF36 AF38 AF39 AF40 AF41 AF42 AF43 AF45 AF46 AF47 AF48 AF49 AF50 AF52 AF53 AF54 AF55 AF57 AF58 AF59 AF60 AF61 AF62 AF63 AF64 AF65 AF66 AF67 AF68 AF69 AF70 AF71 AF72 AF73 AF74 AF75 AF76 AF77 AF78 AF79 AF80 AF81 AF82 AF83 AF84 AF85 AF86 AF87 AF88 AF89 AF90 AF91" showDropDown="0" showInputMessage="0" showErrorMessage="0" allowBlank="1" type="list">
      <formula1>"X,-"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I102"/>
  <sheetViews>
    <sheetView showGridLines="0" workbookViewId="0">
      <pane xSplit="6" ySplit="1" topLeftCell="G2"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34" customWidth="1" min="3" max="3"/>
    <col width="13" customWidth="1" min="4" max="4"/>
    <col width="11" customWidth="1" min="5" max="5"/>
    <col width="20"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4.2" customWidth="1" min="24" max="24"/>
    <col width="4.2" customWidth="1" min="25" max="25"/>
    <col width="4.2" customWidth="1" min="26" max="26"/>
    <col width="4.2" customWidth="1" min="27" max="27"/>
    <col width="4.2" customWidth="1" min="28" max="28"/>
    <col width="4.2" customWidth="1" min="29" max="29"/>
    <col width="4.2" customWidth="1" min="30" max="30"/>
    <col width="4.2" customWidth="1" min="31" max="31"/>
    <col width="4.2" customWidth="1" min="32" max="32"/>
    <col width="12" customWidth="1" min="33" max="33"/>
    <col width="12" customWidth="1" min="34" max="34"/>
    <col width="11" customWidth="1" min="35" max="35"/>
  </cols>
  <sheetData>
    <row r="1" ht="46" customHeight="1">
      <c r="A1" s="34" t="inlineStr">
        <is>
          <t>Proceso</t>
        </is>
      </c>
      <c r="B1" s="34" t="inlineStr">
        <is>
          <t>Procedimiento</t>
        </is>
      </c>
      <c r="C1" s="34" t="inlineStr">
        <is>
          <t>Tarea</t>
        </is>
      </c>
      <c r="D1" s="34" t="inlineStr">
        <is>
          <t>Frecuencia</t>
        </is>
      </c>
      <c r="E1" s="34" t="inlineStr">
        <is>
          <t>Tiempo est. (min)</t>
        </is>
      </c>
      <c r="F1" s="34" t="inlineStr">
        <is>
          <t>Cobertura de días</t>
        </is>
      </c>
      <c r="G1" s="35" t="inlineStr">
        <is>
          <t>S 01/08</t>
        </is>
      </c>
      <c r="H1" s="36" t="inlineStr">
        <is>
          <t>L 03/08</t>
        </is>
      </c>
      <c r="I1" s="36" t="inlineStr">
        <is>
          <t>M 04/08</t>
        </is>
      </c>
      <c r="J1" s="36" t="inlineStr">
        <is>
          <t>X 05/08</t>
        </is>
      </c>
      <c r="K1" s="36" t="inlineStr">
        <is>
          <t>J 06/08</t>
        </is>
      </c>
      <c r="L1" s="36" t="inlineStr">
        <is>
          <t>V 07/08</t>
        </is>
      </c>
      <c r="M1" s="35" t="inlineStr">
        <is>
          <t>S 08/08</t>
        </is>
      </c>
      <c r="N1" s="36" t="inlineStr">
        <is>
          <t>L 10/08</t>
        </is>
      </c>
      <c r="O1" s="36" t="inlineStr">
        <is>
          <t>M 11/08</t>
        </is>
      </c>
      <c r="P1" s="36" t="inlineStr">
        <is>
          <t>X 12/08</t>
        </is>
      </c>
      <c r="Q1" s="36" t="inlineStr">
        <is>
          <t>J 13/08</t>
        </is>
      </c>
      <c r="R1" s="36" t="inlineStr">
        <is>
          <t>V 14/08</t>
        </is>
      </c>
      <c r="S1" s="35" t="inlineStr">
        <is>
          <t>S 15/08</t>
        </is>
      </c>
      <c r="T1" s="36" t="inlineStr">
        <is>
          <t>L 17/08</t>
        </is>
      </c>
      <c r="U1" s="36" t="inlineStr">
        <is>
          <t>M 18/08</t>
        </is>
      </c>
      <c r="V1" s="36" t="inlineStr">
        <is>
          <t>X 19/08</t>
        </is>
      </c>
      <c r="W1" s="36" t="inlineStr">
        <is>
          <t>J 20/08</t>
        </is>
      </c>
      <c r="X1" s="36" t="inlineStr">
        <is>
          <t>V 21/08</t>
        </is>
      </c>
      <c r="Y1" s="35" t="inlineStr">
        <is>
          <t>S 22/08</t>
        </is>
      </c>
      <c r="Z1" s="36" t="inlineStr">
        <is>
          <t>L 24/08</t>
        </is>
      </c>
      <c r="AA1" s="36" t="inlineStr">
        <is>
          <t>M 25/08</t>
        </is>
      </c>
      <c r="AB1" s="36" t="inlineStr">
        <is>
          <t>X 26/08</t>
        </is>
      </c>
      <c r="AC1" s="36" t="inlineStr">
        <is>
          <t>J 27/08</t>
        </is>
      </c>
      <c r="AD1" s="36" t="inlineStr">
        <is>
          <t>V 28/08</t>
        </is>
      </c>
      <c r="AE1" s="35" t="inlineStr">
        <is>
          <t>S 29/08</t>
        </is>
      </c>
      <c r="AF1" s="36" t="inlineStr">
        <is>
          <t>L 31/08</t>
        </is>
      </c>
      <c r="AG1" s="34" t="inlineStr">
        <is>
          <t>Hs. esperadas (mes)</t>
        </is>
      </c>
      <c r="AH1" s="34" t="inlineStr">
        <is>
          <t>Hs. marcadas hechas</t>
        </is>
      </c>
      <c r="AI1" s="34" t="inlineStr">
        <is>
          <t>Diferencia (hs)</t>
        </is>
      </c>
    </row>
    <row r="2">
      <c r="A2" s="37" t="inlineStr">
        <is>
          <t>TOP10 (Lunes)</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row>
    <row r="3">
      <c r="A3" s="39" t="inlineStr">
        <is>
          <t>TOP10</t>
        </is>
      </c>
      <c r="B3" s="40" t="inlineStr">
        <is>
          <t>Elaboracion y envio del informe semanal TOP10</t>
        </is>
      </c>
      <c r="C3" s="41" t="inlineStr">
        <is>
          <t>Ingresar a monitoreo.com y generar el Resumen Semanal de Eventos</t>
        </is>
      </c>
      <c r="D3" s="42" t="inlineStr">
        <is>
          <t>Semanal</t>
        </is>
      </c>
      <c r="E3" s="42" t="inlineStr">
        <is>
          <t>A confirmar</t>
        </is>
      </c>
      <c r="F3" s="43" t="inlineStr">
        <is>
          <t>Fija</t>
        </is>
      </c>
      <c r="G3" s="44" t="n"/>
      <c r="H3" s="45" t="n"/>
      <c r="I3" s="44" t="n"/>
      <c r="J3" s="44" t="n"/>
      <c r="K3" s="44" t="n"/>
      <c r="L3" s="44" t="n"/>
      <c r="M3" s="44" t="n"/>
      <c r="N3" s="45" t="n"/>
      <c r="O3" s="44" t="n"/>
      <c r="P3" s="44" t="n"/>
      <c r="Q3" s="44" t="n"/>
      <c r="R3" s="44" t="n"/>
      <c r="S3" s="44" t="n"/>
      <c r="T3" s="45" t="n"/>
      <c r="U3" s="44" t="n"/>
      <c r="V3" s="44" t="n"/>
      <c r="W3" s="44" t="n"/>
      <c r="X3" s="44" t="n"/>
      <c r="Y3" s="44" t="n"/>
      <c r="Z3" s="45" t="n"/>
      <c r="AA3" s="44" t="n"/>
      <c r="AB3" s="44" t="n"/>
      <c r="AC3" s="44" t="n"/>
      <c r="AD3" s="44" t="n"/>
      <c r="AE3" s="44" t="n"/>
      <c r="AF3" s="45" t="n"/>
      <c r="AG3" s="42" t="inlineStr">
        <is>
          <t>—</t>
        </is>
      </c>
      <c r="AH3" s="42">
        <f>COUNTIF(G3:AF3,"X")</f>
        <v/>
      </c>
      <c r="AI3" s="42" t="inlineStr">
        <is>
          <t>—</t>
        </is>
      </c>
    </row>
    <row r="4">
      <c r="A4" s="39" t="inlineStr">
        <is>
          <t>TOP10</t>
        </is>
      </c>
      <c r="B4" s="40" t="inlineStr">
        <is>
          <t>Elaboracion y envio del informe semanal TOP10</t>
        </is>
      </c>
      <c r="C4" s="41" t="inlineStr">
        <is>
          <t>Filtrar por Total Operados y extraer el TOP10 de clientes</t>
        </is>
      </c>
      <c r="D4" s="42" t="inlineStr">
        <is>
          <t>Semanal</t>
        </is>
      </c>
      <c r="E4" s="42" t="inlineStr">
        <is>
          <t>A confirmar</t>
        </is>
      </c>
      <c r="F4" s="43" t="inlineStr">
        <is>
          <t>Fija</t>
        </is>
      </c>
      <c r="G4" s="44" t="n"/>
      <c r="H4" s="45" t="n"/>
      <c r="I4" s="44" t="n"/>
      <c r="J4" s="44" t="n"/>
      <c r="K4" s="44" t="n"/>
      <c r="L4" s="44" t="n"/>
      <c r="M4" s="44" t="n"/>
      <c r="N4" s="45" t="n"/>
      <c r="O4" s="44" t="n"/>
      <c r="P4" s="44" t="n"/>
      <c r="Q4" s="44" t="n"/>
      <c r="R4" s="44" t="n"/>
      <c r="S4" s="44" t="n"/>
      <c r="T4" s="45" t="n"/>
      <c r="U4" s="44" t="n"/>
      <c r="V4" s="44" t="n"/>
      <c r="W4" s="44" t="n"/>
      <c r="X4" s="44" t="n"/>
      <c r="Y4" s="44" t="n"/>
      <c r="Z4" s="45" t="n"/>
      <c r="AA4" s="44" t="n"/>
      <c r="AB4" s="44" t="n"/>
      <c r="AC4" s="44" t="n"/>
      <c r="AD4" s="44" t="n"/>
      <c r="AE4" s="44" t="n"/>
      <c r="AF4" s="45" t="n"/>
      <c r="AG4" s="42" t="inlineStr">
        <is>
          <t>—</t>
        </is>
      </c>
      <c r="AH4" s="42">
        <f>COUNTIF(G4:AF4,"X")</f>
        <v/>
      </c>
      <c r="AI4" s="42" t="inlineStr">
        <is>
          <t>—</t>
        </is>
      </c>
    </row>
    <row r="5">
      <c r="A5" s="39" t="inlineStr">
        <is>
          <t>TOP10</t>
        </is>
      </c>
      <c r="B5" s="40" t="inlineStr">
        <is>
          <t>Elaboracion y envio del informe semanal TOP10</t>
        </is>
      </c>
      <c r="C5" s="41" t="inlineStr">
        <is>
          <t>Actualizar planilla Evento Semana por Semana (nueva hoja+formato)</t>
        </is>
      </c>
      <c r="D5" s="42" t="inlineStr">
        <is>
          <t>Semanal</t>
        </is>
      </c>
      <c r="E5" s="42" t="inlineStr">
        <is>
          <t>A confirmar</t>
        </is>
      </c>
      <c r="F5" s="43" t="inlineStr">
        <is>
          <t>Fija</t>
        </is>
      </c>
      <c r="G5" s="44" t="n"/>
      <c r="H5" s="45" t="n"/>
      <c r="I5" s="44" t="n"/>
      <c r="J5" s="44" t="n"/>
      <c r="K5" s="44" t="n"/>
      <c r="L5" s="44" t="n"/>
      <c r="M5" s="44" t="n"/>
      <c r="N5" s="45" t="n"/>
      <c r="O5" s="44" t="n"/>
      <c r="P5" s="44" t="n"/>
      <c r="Q5" s="44" t="n"/>
      <c r="R5" s="44" t="n"/>
      <c r="S5" s="44" t="n"/>
      <c r="T5" s="45" t="n"/>
      <c r="U5" s="44" t="n"/>
      <c r="V5" s="44" t="n"/>
      <c r="W5" s="44" t="n"/>
      <c r="X5" s="44" t="n"/>
      <c r="Y5" s="44" t="n"/>
      <c r="Z5" s="45" t="n"/>
      <c r="AA5" s="44" t="n"/>
      <c r="AB5" s="44" t="n"/>
      <c r="AC5" s="44" t="n"/>
      <c r="AD5" s="44" t="n"/>
      <c r="AE5" s="44" t="n"/>
      <c r="AF5" s="45" t="n"/>
      <c r="AG5" s="42" t="inlineStr">
        <is>
          <t>—</t>
        </is>
      </c>
      <c r="AH5" s="42">
        <f>COUNTIF(G5:AF5,"X")</f>
        <v/>
      </c>
      <c r="AI5" s="42" t="inlineStr">
        <is>
          <t>—</t>
        </is>
      </c>
    </row>
    <row r="6">
      <c r="A6" s="39" t="inlineStr">
        <is>
          <t>TOP10</t>
        </is>
      </c>
      <c r="B6" s="40" t="inlineStr">
        <is>
          <t>Elaboracion y envio del informe semanal TOP10</t>
        </is>
      </c>
      <c r="C6" s="41" t="inlineStr">
        <is>
          <t>Completar fila de la semana en Eventos por Semana (indicadores)</t>
        </is>
      </c>
      <c r="D6" s="42" t="inlineStr">
        <is>
          <t>Semanal</t>
        </is>
      </c>
      <c r="E6" s="42" t="inlineStr">
        <is>
          <t>A confirmar</t>
        </is>
      </c>
      <c r="F6" s="43" t="inlineStr">
        <is>
          <t>Fija</t>
        </is>
      </c>
      <c r="G6" s="44" t="n"/>
      <c r="H6" s="45" t="n"/>
      <c r="I6" s="44" t="n"/>
      <c r="J6" s="44" t="n"/>
      <c r="K6" s="44" t="n"/>
      <c r="L6" s="44" t="n"/>
      <c r="M6" s="44" t="n"/>
      <c r="N6" s="45" t="n"/>
      <c r="O6" s="44" t="n"/>
      <c r="P6" s="44" t="n"/>
      <c r="Q6" s="44" t="n"/>
      <c r="R6" s="44" t="n"/>
      <c r="S6" s="44" t="n"/>
      <c r="T6" s="45" t="n"/>
      <c r="U6" s="44" t="n"/>
      <c r="V6" s="44" t="n"/>
      <c r="W6" s="44" t="n"/>
      <c r="X6" s="44" t="n"/>
      <c r="Y6" s="44" t="n"/>
      <c r="Z6" s="45" t="n"/>
      <c r="AA6" s="44" t="n"/>
      <c r="AB6" s="44" t="n"/>
      <c r="AC6" s="44" t="n"/>
      <c r="AD6" s="44" t="n"/>
      <c r="AE6" s="44" t="n"/>
      <c r="AF6" s="45" t="n"/>
      <c r="AG6" s="42" t="inlineStr">
        <is>
          <t>—</t>
        </is>
      </c>
      <c r="AH6" s="42">
        <f>COUNTIF(G6:AF6,"X")</f>
        <v/>
      </c>
      <c r="AI6" s="42" t="inlineStr">
        <is>
          <t>—</t>
        </is>
      </c>
    </row>
    <row r="7">
      <c r="A7" s="39" t="inlineStr">
        <is>
          <t>TOP10</t>
        </is>
      </c>
      <c r="B7" s="40" t="inlineStr">
        <is>
          <t>Elaboracion y envio del informe semanal TOP10</t>
        </is>
      </c>
      <c r="C7" s="41" t="inlineStr">
        <is>
          <t>Completar hoja Analisis TOP10</t>
        </is>
      </c>
      <c r="D7" s="42" t="inlineStr">
        <is>
          <t>Semanal</t>
        </is>
      </c>
      <c r="E7" s="42" t="inlineStr">
        <is>
          <t>A confirmar</t>
        </is>
      </c>
      <c r="F7" s="43" t="inlineStr">
        <is>
          <t>Fija</t>
        </is>
      </c>
      <c r="G7" s="44" t="n"/>
      <c r="H7" s="45" t="n"/>
      <c r="I7" s="44" t="n"/>
      <c r="J7" s="44" t="n"/>
      <c r="K7" s="44" t="n"/>
      <c r="L7" s="44" t="n"/>
      <c r="M7" s="44" t="n"/>
      <c r="N7" s="45" t="n"/>
      <c r="O7" s="44" t="n"/>
      <c r="P7" s="44" t="n"/>
      <c r="Q7" s="44" t="n"/>
      <c r="R7" s="44" t="n"/>
      <c r="S7" s="44" t="n"/>
      <c r="T7" s="45" t="n"/>
      <c r="U7" s="44" t="n"/>
      <c r="V7" s="44" t="n"/>
      <c r="W7" s="44" t="n"/>
      <c r="X7" s="44" t="n"/>
      <c r="Y7" s="44" t="n"/>
      <c r="Z7" s="45" t="n"/>
      <c r="AA7" s="44" t="n"/>
      <c r="AB7" s="44" t="n"/>
      <c r="AC7" s="44" t="n"/>
      <c r="AD7" s="44" t="n"/>
      <c r="AE7" s="44" t="n"/>
      <c r="AF7" s="45" t="n"/>
      <c r="AG7" s="42" t="inlineStr">
        <is>
          <t>—</t>
        </is>
      </c>
      <c r="AH7" s="42">
        <f>COUNTIF(G7:AF7,"X")</f>
        <v/>
      </c>
      <c r="AI7" s="42" t="inlineStr">
        <is>
          <t>—</t>
        </is>
      </c>
    </row>
    <row r="8">
      <c r="A8" s="39" t="inlineStr">
        <is>
          <t>TOP10</t>
        </is>
      </c>
      <c r="B8" s="40" t="inlineStr">
        <is>
          <t>Elaboracion y envio del informe semanal TOP10</t>
        </is>
      </c>
      <c r="C8" s="41" t="inlineStr">
        <is>
          <t>Redactar correo del informe TOP10 con cuadros y enlaces</t>
        </is>
      </c>
      <c r="D8" s="42" t="inlineStr">
        <is>
          <t>Semanal</t>
        </is>
      </c>
      <c r="E8" s="42" t="inlineStr">
        <is>
          <t>A confirmar</t>
        </is>
      </c>
      <c r="F8" s="43" t="inlineStr">
        <is>
          <t>Fija</t>
        </is>
      </c>
      <c r="G8" s="44" t="n"/>
      <c r="H8" s="45" t="n"/>
      <c r="I8" s="44" t="n"/>
      <c r="J8" s="44" t="n"/>
      <c r="K8" s="44" t="n"/>
      <c r="L8" s="44" t="n"/>
      <c r="M8" s="44" t="n"/>
      <c r="N8" s="45" t="n"/>
      <c r="O8" s="44" t="n"/>
      <c r="P8" s="44" t="n"/>
      <c r="Q8" s="44" t="n"/>
      <c r="R8" s="44" t="n"/>
      <c r="S8" s="44" t="n"/>
      <c r="T8" s="45" t="n"/>
      <c r="U8" s="44" t="n"/>
      <c r="V8" s="44" t="n"/>
      <c r="W8" s="44" t="n"/>
      <c r="X8" s="44" t="n"/>
      <c r="Y8" s="44" t="n"/>
      <c r="Z8" s="45" t="n"/>
      <c r="AA8" s="44" t="n"/>
      <c r="AB8" s="44" t="n"/>
      <c r="AC8" s="44" t="n"/>
      <c r="AD8" s="44" t="n"/>
      <c r="AE8" s="44" t="n"/>
      <c r="AF8" s="45" t="n"/>
      <c r="AG8" s="42" t="inlineStr">
        <is>
          <t>—</t>
        </is>
      </c>
      <c r="AH8" s="42">
        <f>COUNTIF(G8:AF8,"X")</f>
        <v/>
      </c>
      <c r="AI8" s="42" t="inlineStr">
        <is>
          <t>—</t>
        </is>
      </c>
    </row>
    <row r="9">
      <c r="A9" s="39" t="inlineStr">
        <is>
          <t>TOP10</t>
        </is>
      </c>
      <c r="B9" s="40" t="inlineStr">
        <is>
          <t>Elaboracion y envio del informe semanal TOP10</t>
        </is>
      </c>
      <c r="C9" s="41" t="inlineStr">
        <is>
          <t>Enviar correo del informe TOP10 a DIR/TEC/AYL</t>
        </is>
      </c>
      <c r="D9" s="42" t="inlineStr">
        <is>
          <t>Semanal</t>
        </is>
      </c>
      <c r="E9" s="42" t="inlineStr">
        <is>
          <t>A confirmar</t>
        </is>
      </c>
      <c r="F9" s="43" t="inlineStr">
        <is>
          <t>Fija</t>
        </is>
      </c>
      <c r="G9" s="44" t="n"/>
      <c r="H9" s="45" t="n"/>
      <c r="I9" s="44" t="n"/>
      <c r="J9" s="44" t="n"/>
      <c r="K9" s="44" t="n"/>
      <c r="L9" s="44" t="n"/>
      <c r="M9" s="44" t="n"/>
      <c r="N9" s="45" t="n"/>
      <c r="O9" s="44" t="n"/>
      <c r="P9" s="44" t="n"/>
      <c r="Q9" s="44" t="n"/>
      <c r="R9" s="44" t="n"/>
      <c r="S9" s="44" t="n"/>
      <c r="T9" s="45" t="n"/>
      <c r="U9" s="44" t="n"/>
      <c r="V9" s="44" t="n"/>
      <c r="W9" s="44" t="n"/>
      <c r="X9" s="44" t="n"/>
      <c r="Y9" s="44" t="n"/>
      <c r="Z9" s="45" t="n"/>
      <c r="AA9" s="44" t="n"/>
      <c r="AB9" s="44" t="n"/>
      <c r="AC9" s="44" t="n"/>
      <c r="AD9" s="44" t="n"/>
      <c r="AE9" s="44" t="n"/>
      <c r="AF9" s="45" t="n"/>
      <c r="AG9" s="42" t="inlineStr">
        <is>
          <t>—</t>
        </is>
      </c>
      <c r="AH9" s="42">
        <f>COUNTIF(G9:AF9,"X")</f>
        <v/>
      </c>
      <c r="AI9" s="42" t="inlineStr">
        <is>
          <t>—</t>
        </is>
      </c>
    </row>
    <row r="10">
      <c r="A10" s="39" t="inlineStr">
        <is>
          <t>TOP10</t>
        </is>
      </c>
      <c r="B10" s="40" t="inlineStr">
        <is>
          <t>Elaboracion y envio del informe semanal TOP10</t>
        </is>
      </c>
      <c r="C10" s="41" t="inlineStr">
        <is>
          <t>Indagar y documentar la gestion realizada con cada cliente del TOP10</t>
        </is>
      </c>
      <c r="D10" s="42" t="inlineStr">
        <is>
          <t>Semanal</t>
        </is>
      </c>
      <c r="E10" s="42" t="inlineStr">
        <is>
          <t>A confirmar</t>
        </is>
      </c>
      <c r="F10" s="43" t="inlineStr">
        <is>
          <t>Fija</t>
        </is>
      </c>
      <c r="G10" s="44" t="n"/>
      <c r="H10" s="45" t="n"/>
      <c r="I10" s="44" t="n"/>
      <c r="J10" s="44" t="n"/>
      <c r="K10" s="44" t="n"/>
      <c r="L10" s="44" t="n"/>
      <c r="M10" s="44" t="n"/>
      <c r="N10" s="45" t="n"/>
      <c r="O10" s="44" t="n"/>
      <c r="P10" s="44" t="n"/>
      <c r="Q10" s="44" t="n"/>
      <c r="R10" s="44" t="n"/>
      <c r="S10" s="44" t="n"/>
      <c r="T10" s="45" t="n"/>
      <c r="U10" s="44" t="n"/>
      <c r="V10" s="44" t="n"/>
      <c r="W10" s="44" t="n"/>
      <c r="X10" s="44" t="n"/>
      <c r="Y10" s="44" t="n"/>
      <c r="Z10" s="45" t="n"/>
      <c r="AA10" s="44" t="n"/>
      <c r="AB10" s="44" t="n"/>
      <c r="AC10" s="44" t="n"/>
      <c r="AD10" s="44" t="n"/>
      <c r="AE10" s="44" t="n"/>
      <c r="AF10" s="45" t="n"/>
      <c r="AG10" s="42" t="inlineStr">
        <is>
          <t>—</t>
        </is>
      </c>
      <c r="AH10" s="42">
        <f>COUNTIF(G10:AF10,"X")</f>
        <v/>
      </c>
      <c r="AI10" s="42" t="inlineStr">
        <is>
          <t>—</t>
        </is>
      </c>
    </row>
    <row r="11">
      <c r="A11" s="39" t="inlineStr">
        <is>
          <t>TOP10</t>
        </is>
      </c>
      <c r="B11" s="40" t="inlineStr">
        <is>
          <t>Elaboracion y envio del informe semanal TOP10</t>
        </is>
      </c>
      <c r="C11" s="41" t="inlineStr">
        <is>
          <t>Actualizar seguimiento del TOP10 de la semana anterior (Control Semana por Semana)</t>
        </is>
      </c>
      <c r="D11" s="42" t="inlineStr">
        <is>
          <t>Semanal</t>
        </is>
      </c>
      <c r="E11" s="42" t="inlineStr">
        <is>
          <t>A confirmar</t>
        </is>
      </c>
      <c r="F11" s="43" t="inlineStr">
        <is>
          <t>Fija</t>
        </is>
      </c>
      <c r="G11" s="44" t="n"/>
      <c r="H11" s="45" t="n"/>
      <c r="I11" s="44" t="n"/>
      <c r="J11" s="44" t="n"/>
      <c r="K11" s="44" t="n"/>
      <c r="L11" s="44" t="n"/>
      <c r="M11" s="44" t="n"/>
      <c r="N11" s="45" t="n"/>
      <c r="O11" s="44" t="n"/>
      <c r="P11" s="44" t="n"/>
      <c r="Q11" s="44" t="n"/>
      <c r="R11" s="44" t="n"/>
      <c r="S11" s="44" t="n"/>
      <c r="T11" s="45" t="n"/>
      <c r="U11" s="44" t="n"/>
      <c r="V11" s="44" t="n"/>
      <c r="W11" s="44" t="n"/>
      <c r="X11" s="44" t="n"/>
      <c r="Y11" s="44" t="n"/>
      <c r="Z11" s="45" t="n"/>
      <c r="AA11" s="44" t="n"/>
      <c r="AB11" s="44" t="n"/>
      <c r="AC11" s="44" t="n"/>
      <c r="AD11" s="44" t="n"/>
      <c r="AE11" s="44" t="n"/>
      <c r="AF11" s="45" t="n"/>
      <c r="AG11" s="42" t="inlineStr">
        <is>
          <t>—</t>
        </is>
      </c>
      <c r="AH11" s="42">
        <f>COUNTIF(G11:AF11,"X")</f>
        <v/>
      </c>
      <c r="AI11" s="42" t="inlineStr">
        <is>
          <t>—</t>
        </is>
      </c>
    </row>
    <row r="12">
      <c r="A12" s="39" t="inlineStr">
        <is>
          <t>TOP10</t>
        </is>
      </c>
      <c r="B12" s="40" t="inlineStr">
        <is>
          <t>Elaboracion y envio del informe semanal TOP10</t>
        </is>
      </c>
      <c r="C12" s="41" t="inlineStr">
        <is>
          <t>Enviar respuesta final del informe con observaciones</t>
        </is>
      </c>
      <c r="D12" s="42" t="inlineStr">
        <is>
          <t>Semanal</t>
        </is>
      </c>
      <c r="E12" s="42" t="inlineStr">
        <is>
          <t>A confirmar</t>
        </is>
      </c>
      <c r="F12" s="43" t="inlineStr">
        <is>
          <t>Fija</t>
        </is>
      </c>
      <c r="G12" s="44" t="n"/>
      <c r="H12" s="45" t="n"/>
      <c r="I12" s="44" t="n"/>
      <c r="J12" s="44" t="n"/>
      <c r="K12" s="44" t="n"/>
      <c r="L12" s="44" t="n"/>
      <c r="M12" s="44" t="n"/>
      <c r="N12" s="45" t="n"/>
      <c r="O12" s="44" t="n"/>
      <c r="P12" s="44" t="n"/>
      <c r="Q12" s="44" t="n"/>
      <c r="R12" s="44" t="n"/>
      <c r="S12" s="44" t="n"/>
      <c r="T12" s="45" t="n"/>
      <c r="U12" s="44" t="n"/>
      <c r="V12" s="44" t="n"/>
      <c r="W12" s="44" t="n"/>
      <c r="X12" s="44" t="n"/>
      <c r="Y12" s="44" t="n"/>
      <c r="Z12" s="45" t="n"/>
      <c r="AA12" s="44" t="n"/>
      <c r="AB12" s="44" t="n"/>
      <c r="AC12" s="44" t="n"/>
      <c r="AD12" s="44" t="n"/>
      <c r="AE12" s="44" t="n"/>
      <c r="AF12" s="45" t="n"/>
      <c r="AG12" s="42" t="inlineStr">
        <is>
          <t>—</t>
        </is>
      </c>
      <c r="AH12" s="42">
        <f>COUNTIF(G12:AF12,"X")</f>
        <v/>
      </c>
      <c r="AI12" s="42" t="inlineStr">
        <is>
          <t>—</t>
        </is>
      </c>
    </row>
    <row r="13">
      <c r="A13" s="37" t="inlineStr">
        <is>
          <t>Revision de Eventos Diarios / Red (Viernes)</t>
        </is>
      </c>
      <c r="B13" s="38" t="n"/>
      <c r="C13" s="38" t="n"/>
      <c r="D13" s="38" t="n"/>
      <c r="E13" s="38" t="n"/>
      <c r="F13" s="38" t="n"/>
      <c r="G13" s="38" t="n"/>
      <c r="H13" s="38" t="n"/>
      <c r="I13" s="38" t="n"/>
      <c r="J13" s="38" t="n"/>
      <c r="K13" s="38" t="n"/>
      <c r="L13" s="38" t="n"/>
      <c r="M13" s="38" t="n"/>
      <c r="N13" s="38" t="n"/>
      <c r="O13" s="38" t="n"/>
      <c r="P13" s="38" t="n"/>
      <c r="Q13" s="38" t="n"/>
      <c r="R13" s="38" t="n"/>
      <c r="S13" s="38" t="n"/>
      <c r="T13" s="38" t="n"/>
      <c r="U13" s="38" t="n"/>
      <c r="V13" s="38" t="n"/>
      <c r="W13" s="38" t="n"/>
      <c r="X13" s="38" t="n"/>
      <c r="Y13" s="38" t="n"/>
      <c r="Z13" s="38" t="n"/>
      <c r="AA13" s="38" t="n"/>
      <c r="AB13" s="38" t="n"/>
      <c r="AC13" s="38" t="n"/>
      <c r="AD13" s="38" t="n"/>
      <c r="AE13" s="38" t="n"/>
      <c r="AF13" s="38" t="n"/>
      <c r="AG13" s="38" t="n"/>
      <c r="AH13" s="38" t="n"/>
      <c r="AI13" s="38" t="n"/>
    </row>
    <row r="14">
      <c r="A14" s="39" t="inlineStr">
        <is>
          <t>Revision de Eventos Diarios / Red</t>
        </is>
      </c>
      <c r="B14" s="40" t="inlineStr">
        <is>
          <t>Pendiente de desglose</t>
        </is>
      </c>
      <c r="C14" s="41" t="inlineStr">
        <is>
          <t>Pendiente de desglose (a detallar con RM)</t>
        </is>
      </c>
      <c r="D14" s="42" t="inlineStr">
        <is>
          <t>Semanal (viernes)</t>
        </is>
      </c>
      <c r="E14" s="42" t="inlineStr">
        <is>
          <t>A confirmar</t>
        </is>
      </c>
      <c r="F14" s="43" t="inlineStr">
        <is>
          <t>Fija</t>
        </is>
      </c>
      <c r="G14" s="44" t="n"/>
      <c r="H14" s="44" t="n"/>
      <c r="I14" s="44" t="n"/>
      <c r="J14" s="44" t="n"/>
      <c r="K14" s="44" t="n"/>
      <c r="L14" s="45" t="n"/>
      <c r="M14" s="44" t="n"/>
      <c r="N14" s="44" t="n"/>
      <c r="O14" s="44" t="n"/>
      <c r="P14" s="44" t="n"/>
      <c r="Q14" s="44" t="n"/>
      <c r="R14" s="45" t="n"/>
      <c r="S14" s="44" t="n"/>
      <c r="T14" s="44" t="n"/>
      <c r="U14" s="44" t="n"/>
      <c r="V14" s="44" t="n"/>
      <c r="W14" s="44" t="n"/>
      <c r="X14" s="45" t="n"/>
      <c r="Y14" s="44" t="n"/>
      <c r="Z14" s="44" t="n"/>
      <c r="AA14" s="44" t="n"/>
      <c r="AB14" s="44" t="n"/>
      <c r="AC14" s="44" t="n"/>
      <c r="AD14" s="45" t="n"/>
      <c r="AE14" s="44" t="n"/>
      <c r="AF14" s="44" t="n"/>
      <c r="AG14" s="42" t="inlineStr">
        <is>
          <t>—</t>
        </is>
      </c>
      <c r="AH14" s="42">
        <f>COUNTIF(G14:AF14,"X")</f>
        <v/>
      </c>
      <c r="AI14" s="42" t="inlineStr">
        <is>
          <t>—</t>
        </is>
      </c>
    </row>
    <row r="15">
      <c r="A15" s="39" t="inlineStr">
        <is>
          <t>Revision de Eventos Diarios / Red</t>
        </is>
      </c>
      <c r="B15" s="40" t="inlineStr">
        <is>
          <t>Pendiente de desglose</t>
        </is>
      </c>
      <c r="C15" s="41" t="inlineStr">
        <is>
          <t>Pendiente de desglose (a detallar con RM)</t>
        </is>
      </c>
      <c r="D15" s="42" t="inlineStr">
        <is>
          <t>Diaria</t>
        </is>
      </c>
      <c r="E15" s="42" t="inlineStr">
        <is>
          <t>A confirmar</t>
        </is>
      </c>
      <c r="F15" s="43" t="inlineStr">
        <is>
          <t>Fija</t>
        </is>
      </c>
      <c r="G15" s="44" t="n"/>
      <c r="H15" s="44" t="n"/>
      <c r="I15" s="44" t="n"/>
      <c r="J15" s="44" t="n"/>
      <c r="K15" s="44" t="n"/>
      <c r="L15" s="45" t="n"/>
      <c r="M15" s="44" t="n"/>
      <c r="N15" s="44" t="n"/>
      <c r="O15" s="44" t="n"/>
      <c r="P15" s="44" t="n"/>
      <c r="Q15" s="44" t="n"/>
      <c r="R15" s="45" t="n"/>
      <c r="S15" s="44" t="n"/>
      <c r="T15" s="44" t="n"/>
      <c r="U15" s="44" t="n"/>
      <c r="V15" s="44" t="n"/>
      <c r="W15" s="44" t="n"/>
      <c r="X15" s="45" t="n"/>
      <c r="Y15" s="44" t="n"/>
      <c r="Z15" s="44" t="n"/>
      <c r="AA15" s="44" t="n"/>
      <c r="AB15" s="44" t="n"/>
      <c r="AC15" s="44" t="n"/>
      <c r="AD15" s="45" t="n"/>
      <c r="AE15" s="44" t="n"/>
      <c r="AF15" s="44" t="n"/>
      <c r="AG15" s="42" t="inlineStr">
        <is>
          <t>—</t>
        </is>
      </c>
      <c r="AH15" s="42">
        <f>COUNTIF(G15:AF15,"X")</f>
        <v/>
      </c>
      <c r="AI15" s="42" t="inlineStr">
        <is>
          <t>—</t>
        </is>
      </c>
    </row>
    <row r="16">
      <c r="A16" s="37" t="inlineStr">
        <is>
          <t>Rutina Administrativa Diaria (RM)</t>
        </is>
      </c>
      <c r="B16" s="38" t="n"/>
      <c r="C16" s="38" t="n"/>
      <c r="D16" s="38" t="n"/>
      <c r="E16" s="38" t="n"/>
      <c r="F16" s="38" t="n"/>
      <c r="G16" s="38" t="n"/>
      <c r="H16" s="38" t="n"/>
      <c r="I16" s="38" t="n"/>
      <c r="J16" s="38" t="n"/>
      <c r="K16" s="38" t="n"/>
      <c r="L16" s="38" t="n"/>
      <c r="M16" s="38" t="n"/>
      <c r="N16" s="38" t="n"/>
      <c r="O16" s="38" t="n"/>
      <c r="P16" s="38" t="n"/>
      <c r="Q16" s="38" t="n"/>
      <c r="R16" s="38" t="n"/>
      <c r="S16" s="38" t="n"/>
      <c r="T16" s="38" t="n"/>
      <c r="U16" s="38" t="n"/>
      <c r="V16" s="38" t="n"/>
      <c r="W16" s="38" t="n"/>
      <c r="X16" s="38" t="n"/>
      <c r="Y16" s="38" t="n"/>
      <c r="Z16" s="38" t="n"/>
      <c r="AA16" s="38" t="n"/>
      <c r="AB16" s="38" t="n"/>
      <c r="AC16" s="38" t="n"/>
      <c r="AD16" s="38" t="n"/>
      <c r="AE16" s="38" t="n"/>
      <c r="AF16" s="38" t="n"/>
      <c r="AG16" s="38" t="n"/>
      <c r="AH16" s="38" t="n"/>
      <c r="AI16" s="38" t="n"/>
    </row>
    <row r="17">
      <c r="A17" s="39" t="inlineStr">
        <is>
          <t>Rutina Administrativa Diaria (RM)</t>
        </is>
      </c>
      <c r="B17" s="40" t="inlineStr">
        <is>
          <t>N/A</t>
        </is>
      </c>
      <c r="C17" s="41" t="inlineStr">
        <is>
          <t>Aviso y coordinacion con ST</t>
        </is>
      </c>
      <c r="D17" s="42" t="inlineStr">
        <is>
          <t>Diario</t>
        </is>
      </c>
      <c r="E17" s="42" t="n">
        <v>45</v>
      </c>
      <c r="F17" s="43" t="inlineStr">
        <is>
          <t>Fija</t>
        </is>
      </c>
      <c r="G17" s="45" t="n"/>
      <c r="H17" s="45" t="n"/>
      <c r="I17" s="45" t="n"/>
      <c r="J17" s="45" t="n"/>
      <c r="K17" s="45" t="n"/>
      <c r="L17" s="45" t="n"/>
      <c r="M17" s="45" t="n"/>
      <c r="N17" s="45" t="n"/>
      <c r="O17" s="45" t="n"/>
      <c r="P17" s="45" t="n"/>
      <c r="Q17" s="45" t="n"/>
      <c r="R17" s="45" t="n"/>
      <c r="S17" s="45" t="n"/>
      <c r="T17" s="45" t="n"/>
      <c r="U17" s="45" t="n"/>
      <c r="V17" s="45" t="n"/>
      <c r="W17" s="45" t="n"/>
      <c r="X17" s="45" t="n"/>
      <c r="Y17" s="45" t="n"/>
      <c r="Z17" s="45" t="n"/>
      <c r="AA17" s="45" t="n"/>
      <c r="AB17" s="45" t="n"/>
      <c r="AC17" s="45" t="n"/>
      <c r="AD17" s="45" t="n"/>
      <c r="AE17" s="45" t="n"/>
      <c r="AF17" s="45" t="n"/>
      <c r="AG17" s="42" t="n">
        <v>19.5</v>
      </c>
      <c r="AH17" s="42">
        <f>COUNTIF(G17:AF17,"X")*45.0/60</f>
        <v/>
      </c>
      <c r="AI17" s="42">
        <f>AH17-AG17</f>
        <v/>
      </c>
    </row>
    <row r="18">
      <c r="A18" s="39" t="inlineStr">
        <is>
          <t>Rutina Administrativa Diaria (RM)</t>
        </is>
      </c>
      <c r="B18" s="40" t="inlineStr">
        <is>
          <t>N/A</t>
        </is>
      </c>
      <c r="C18" s="41" t="inlineStr">
        <is>
          <t>Subir informe de tareas diarias</t>
        </is>
      </c>
      <c r="D18" s="42" t="inlineStr">
        <is>
          <t>Diario</t>
        </is>
      </c>
      <c r="E18" s="42" t="n">
        <v>5</v>
      </c>
      <c r="F18" s="43" t="inlineStr">
        <is>
          <t>Fija</t>
        </is>
      </c>
      <c r="G18" s="45" t="n"/>
      <c r="H18" s="45" t="n"/>
      <c r="I18" s="45" t="n"/>
      <c r="J18" s="45" t="n"/>
      <c r="K18" s="45" t="n"/>
      <c r="L18" s="45" t="n"/>
      <c r="M18" s="45" t="n"/>
      <c r="N18" s="45" t="n"/>
      <c r="O18" s="45" t="n"/>
      <c r="P18" s="45" t="n"/>
      <c r="Q18" s="45" t="n"/>
      <c r="R18" s="45" t="n"/>
      <c r="S18" s="45" t="n"/>
      <c r="T18" s="45" t="n"/>
      <c r="U18" s="45" t="n"/>
      <c r="V18" s="45" t="n"/>
      <c r="W18" s="45" t="n"/>
      <c r="X18" s="45" t="n"/>
      <c r="Y18" s="45" t="n"/>
      <c r="Z18" s="45" t="n"/>
      <c r="AA18" s="45" t="n"/>
      <c r="AB18" s="45" t="n"/>
      <c r="AC18" s="45" t="n"/>
      <c r="AD18" s="45" t="n"/>
      <c r="AE18" s="45" t="n"/>
      <c r="AF18" s="45" t="n"/>
      <c r="AG18" s="42" t="n">
        <v>2.17</v>
      </c>
      <c r="AH18" s="42">
        <f>COUNTIF(G18:AF18,"X")*5.0/60</f>
        <v/>
      </c>
      <c r="AI18" s="42">
        <f>AH18-AG18</f>
        <v/>
      </c>
    </row>
    <row r="19">
      <c r="A19" s="39" t="inlineStr">
        <is>
          <t>Rutina Administrativa Diaria (RM)</t>
        </is>
      </c>
      <c r="B19" s="40" t="inlineStr">
        <is>
          <t>N/A</t>
        </is>
      </c>
      <c r="C19" s="41" t="inlineStr">
        <is>
          <t>Chequeo de ST realizados en el dia</t>
        </is>
      </c>
      <c r="D19" s="42" t="inlineStr">
        <is>
          <t>Diario</t>
        </is>
      </c>
      <c r="E19" s="42" t="n">
        <v>15</v>
      </c>
      <c r="F19" s="43" t="inlineStr">
        <is>
          <t>Fija</t>
        </is>
      </c>
      <c r="G19" s="45" t="n"/>
      <c r="H19" s="45" t="n"/>
      <c r="I19" s="45" t="n"/>
      <c r="J19" s="45" t="n"/>
      <c r="K19" s="45" t="n"/>
      <c r="L19" s="45" t="n"/>
      <c r="M19" s="45" t="n"/>
      <c r="N19" s="45" t="n"/>
      <c r="O19" s="45" t="n"/>
      <c r="P19" s="45" t="n"/>
      <c r="Q19" s="45" t="n"/>
      <c r="R19" s="45" t="n"/>
      <c r="S19" s="45" t="n"/>
      <c r="T19" s="45" t="n"/>
      <c r="U19" s="45" t="n"/>
      <c r="V19" s="45" t="n"/>
      <c r="W19" s="45" t="n"/>
      <c r="X19" s="45" t="n"/>
      <c r="Y19" s="45" t="n"/>
      <c r="Z19" s="45" t="n"/>
      <c r="AA19" s="45" t="n"/>
      <c r="AB19" s="45" t="n"/>
      <c r="AC19" s="45" t="n"/>
      <c r="AD19" s="45" t="n"/>
      <c r="AE19" s="45" t="n"/>
      <c r="AF19" s="45" t="n"/>
      <c r="AG19" s="42" t="n">
        <v>6.5</v>
      </c>
      <c r="AH19" s="42">
        <f>COUNTIF(G19:AF19,"X")*15.0/60</f>
        <v/>
      </c>
      <c r="AI19" s="42">
        <f>AH19-AG19</f>
        <v/>
      </c>
    </row>
    <row r="20">
      <c r="A20" s="39" t="inlineStr">
        <is>
          <t>Rutina Administrativa Diaria (RM)</t>
        </is>
      </c>
      <c r="B20" s="40" t="inlineStr">
        <is>
          <t>N/A</t>
        </is>
      </c>
      <c r="C20" s="41" t="inlineStr">
        <is>
          <t>Contestar mensajes de clientes/mail (primera hora)</t>
        </is>
      </c>
      <c r="D20" s="42" t="inlineStr">
        <is>
          <t>Diario</t>
        </is>
      </c>
      <c r="E20" s="42" t="n">
        <v>60</v>
      </c>
      <c r="F20" s="43" t="inlineStr">
        <is>
          <t>Fija</t>
        </is>
      </c>
      <c r="G20" s="45" t="n"/>
      <c r="H20" s="45" t="n"/>
      <c r="I20" s="45" t="n"/>
      <c r="J20" s="45" t="n"/>
      <c r="K20" s="45" t="n"/>
      <c r="L20" s="45" t="n"/>
      <c r="M20" s="45" t="n"/>
      <c r="N20" s="45" t="n"/>
      <c r="O20" s="45" t="n"/>
      <c r="P20" s="45" t="n"/>
      <c r="Q20" s="45" t="n"/>
      <c r="R20" s="45" t="n"/>
      <c r="S20" s="45" t="n"/>
      <c r="T20" s="45" t="n"/>
      <c r="U20" s="45" t="n"/>
      <c r="V20" s="45" t="n"/>
      <c r="W20" s="45" t="n"/>
      <c r="X20" s="45" t="n"/>
      <c r="Y20" s="45" t="n"/>
      <c r="Z20" s="45" t="n"/>
      <c r="AA20" s="45" t="n"/>
      <c r="AB20" s="45" t="n"/>
      <c r="AC20" s="45" t="n"/>
      <c r="AD20" s="45" t="n"/>
      <c r="AE20" s="45" t="n"/>
      <c r="AF20" s="45" t="n"/>
      <c r="AG20" s="42" t="n">
        <v>26</v>
      </c>
      <c r="AH20" s="42">
        <f>COUNTIF(G20:AF20,"X")*60.0/60</f>
        <v/>
      </c>
      <c r="AI20" s="42">
        <f>AH20-AG20</f>
        <v/>
      </c>
    </row>
    <row r="21">
      <c r="A21" s="39" t="inlineStr">
        <is>
          <t>Rutina Administrativa Diaria (RM)</t>
        </is>
      </c>
      <c r="B21" s="40" t="inlineStr">
        <is>
          <t>N/A</t>
        </is>
      </c>
      <c r="C21" s="41" t="inlineStr">
        <is>
          <t>Revisar planilla de Procesos (primera hora)</t>
        </is>
      </c>
      <c r="D21" s="42" t="inlineStr">
        <is>
          <t>Diario</t>
        </is>
      </c>
      <c r="E21" s="42" t="n">
        <v>1</v>
      </c>
      <c r="F21" s="43" t="inlineStr">
        <is>
          <t>Fija</t>
        </is>
      </c>
      <c r="G21" s="45" t="n"/>
      <c r="H21" s="45" t="n"/>
      <c r="I21" s="45" t="n"/>
      <c r="J21" s="45" t="n"/>
      <c r="K21" s="45" t="n"/>
      <c r="L21" s="45" t="n"/>
      <c r="M21" s="45" t="n"/>
      <c r="N21" s="45" t="n"/>
      <c r="O21" s="45" t="n"/>
      <c r="P21" s="45" t="n"/>
      <c r="Q21" s="45" t="n"/>
      <c r="R21" s="45" t="n"/>
      <c r="S21" s="45" t="n"/>
      <c r="T21" s="45" t="n"/>
      <c r="U21" s="45" t="n"/>
      <c r="V21" s="45" t="n"/>
      <c r="W21" s="45" t="n"/>
      <c r="X21" s="45" t="n"/>
      <c r="Y21" s="45" t="n"/>
      <c r="Z21" s="45" t="n"/>
      <c r="AA21" s="45" t="n"/>
      <c r="AB21" s="45" t="n"/>
      <c r="AC21" s="45" t="n"/>
      <c r="AD21" s="45" t="n"/>
      <c r="AE21" s="45" t="n"/>
      <c r="AF21" s="45" t="n"/>
      <c r="AG21" s="42" t="n">
        <v>0.43</v>
      </c>
      <c r="AH21" s="42">
        <f>COUNTIF(G21:AF21,"X")*1.0/60</f>
        <v/>
      </c>
      <c r="AI21" s="42">
        <f>AH21-AG21</f>
        <v/>
      </c>
    </row>
    <row r="22">
      <c r="A22" s="39" t="inlineStr">
        <is>
          <t>Rutina Administrativa Diaria (RM)</t>
        </is>
      </c>
      <c r="B22" s="40" t="inlineStr">
        <is>
          <t>N/A</t>
        </is>
      </c>
      <c r="C22" s="41" t="inlineStr">
        <is>
          <t>Revisar planilla de Procesos (ultima hora)</t>
        </is>
      </c>
      <c r="D22" s="42" t="inlineStr">
        <is>
          <t>Diario</t>
        </is>
      </c>
      <c r="E22" s="42" t="n">
        <v>1</v>
      </c>
      <c r="F22" s="43" t="inlineStr">
        <is>
          <t>Fija</t>
        </is>
      </c>
      <c r="G22" s="45" t="n"/>
      <c r="H22" s="45" t="n"/>
      <c r="I22" s="45" t="n"/>
      <c r="J22" s="45" t="n"/>
      <c r="K22" s="45" t="n"/>
      <c r="L22" s="45" t="n"/>
      <c r="M22" s="45" t="n"/>
      <c r="N22" s="45" t="n"/>
      <c r="O22" s="45" t="n"/>
      <c r="P22" s="45" t="n"/>
      <c r="Q22" s="45" t="n"/>
      <c r="R22" s="45" t="n"/>
      <c r="S22" s="45" t="n"/>
      <c r="T22" s="45" t="n"/>
      <c r="U22" s="45" t="n"/>
      <c r="V22" s="45" t="n"/>
      <c r="W22" s="45" t="n"/>
      <c r="X22" s="45" t="n"/>
      <c r="Y22" s="45" t="n"/>
      <c r="Z22" s="45" t="n"/>
      <c r="AA22" s="45" t="n"/>
      <c r="AB22" s="45" t="n"/>
      <c r="AC22" s="45" t="n"/>
      <c r="AD22" s="45" t="n"/>
      <c r="AE22" s="45" t="n"/>
      <c r="AF22" s="45" t="n"/>
      <c r="AG22" s="42" t="n">
        <v>0.43</v>
      </c>
      <c r="AH22" s="42">
        <f>COUNTIF(G22:AF22,"X")*1.0/60</f>
        <v/>
      </c>
      <c r="AI22" s="42">
        <f>AH22-AG22</f>
        <v/>
      </c>
    </row>
    <row r="23">
      <c r="A23" s="37" t="inlineStr">
        <is>
          <t>Coordinacion de Guardia</t>
        </is>
      </c>
      <c r="B23" s="38" t="n"/>
      <c r="C23" s="38" t="n"/>
      <c r="D23" s="38" t="n"/>
      <c r="E23" s="38" t="n"/>
      <c r="F23" s="38" t="n"/>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38" t="n"/>
      <c r="AC23" s="38" t="n"/>
      <c r="AD23" s="38" t="n"/>
      <c r="AE23" s="38" t="n"/>
      <c r="AF23" s="38" t="n"/>
      <c r="AG23" s="38" t="n"/>
      <c r="AH23" s="38" t="n"/>
      <c r="AI23" s="38" t="n"/>
    </row>
    <row r="24">
      <c r="A24" s="39" t="inlineStr">
        <is>
          <t>Coordinacion de Guardia</t>
        </is>
      </c>
      <c r="B24" s="40" t="inlineStr">
        <is>
          <t>Coordinacion de Guardia</t>
        </is>
      </c>
      <c r="C24" s="41" t="inlineStr">
        <is>
          <t>Recepcion de N de Ticket</t>
        </is>
      </c>
      <c r="D24" s="42" t="inlineStr">
        <is>
          <t>Mensual</t>
        </is>
      </c>
      <c r="E24" s="42" t="n">
        <v>15</v>
      </c>
      <c r="F24" s="43" t="inlineStr">
        <is>
          <t>Fija</t>
        </is>
      </c>
      <c r="G24" s="45" t="n"/>
      <c r="H24" s="44" t="n"/>
      <c r="I24" s="44" t="n"/>
      <c r="J24" s="44" t="n"/>
      <c r="K24" s="44" t="n"/>
      <c r="L24" s="44" t="n"/>
      <c r="M24" s="44" t="n"/>
      <c r="N24" s="44" t="n"/>
      <c r="O24" s="44" t="n"/>
      <c r="P24" s="44" t="n"/>
      <c r="Q24" s="44" t="n"/>
      <c r="R24" s="44" t="n"/>
      <c r="S24" s="44" t="n"/>
      <c r="T24" s="44" t="n"/>
      <c r="U24" s="44" t="n"/>
      <c r="V24" s="44" t="n"/>
      <c r="W24" s="44" t="n"/>
      <c r="X24" s="44" t="n"/>
      <c r="Y24" s="44" t="n"/>
      <c r="Z24" s="44" t="n"/>
      <c r="AA24" s="44" t="n"/>
      <c r="AB24" s="44" t="n"/>
      <c r="AC24" s="44" t="n"/>
      <c r="AD24" s="44" t="n"/>
      <c r="AE24" s="44" t="n"/>
      <c r="AF24" s="44" t="n"/>
      <c r="AG24" s="42" t="n">
        <v>0.25</v>
      </c>
      <c r="AH24" s="42">
        <f>COUNTIF(G24:AF24,"X")*15.0/60</f>
        <v/>
      </c>
      <c r="AI24" s="42">
        <f>AH24-AG24</f>
        <v/>
      </c>
    </row>
    <row r="25">
      <c r="A25" s="39" t="inlineStr">
        <is>
          <t>Coordinacion de Guardia</t>
        </is>
      </c>
      <c r="B25" s="40" t="inlineStr">
        <is>
          <t>Coordinacion de Guardia</t>
        </is>
      </c>
      <c r="C25" s="41" t="inlineStr">
        <is>
          <t>Compartir N de Ticket en WhatsApp y Telegram</t>
        </is>
      </c>
      <c r="D25" s="42" t="inlineStr">
        <is>
          <t>Mensual</t>
        </is>
      </c>
      <c r="E25" s="42" t="n">
        <v>5</v>
      </c>
      <c r="F25" s="43" t="inlineStr">
        <is>
          <t>Fija</t>
        </is>
      </c>
      <c r="G25" s="45" t="n"/>
      <c r="H25" s="44" t="n"/>
      <c r="I25" s="44" t="n"/>
      <c r="J25" s="44" t="n"/>
      <c r="K25" s="44" t="n"/>
      <c r="L25" s="44" t="n"/>
      <c r="M25" s="44" t="n"/>
      <c r="N25" s="44" t="n"/>
      <c r="O25" s="44" t="n"/>
      <c r="P25" s="44" t="n"/>
      <c r="Q25" s="44" t="n"/>
      <c r="R25" s="44" t="n"/>
      <c r="S25" s="44" t="n"/>
      <c r="T25" s="44" t="n"/>
      <c r="U25" s="44" t="n"/>
      <c r="V25" s="44" t="n"/>
      <c r="W25" s="44" t="n"/>
      <c r="X25" s="44" t="n"/>
      <c r="Y25" s="44" t="n"/>
      <c r="Z25" s="44" t="n"/>
      <c r="AA25" s="44" t="n"/>
      <c r="AB25" s="44" t="n"/>
      <c r="AC25" s="44" t="n"/>
      <c r="AD25" s="44" t="n"/>
      <c r="AE25" s="44" t="n"/>
      <c r="AF25" s="44" t="n"/>
      <c r="AG25" s="42" t="n">
        <v>0.08</v>
      </c>
      <c r="AH25" s="42">
        <f>COUNTIF(G25:AF25,"X")*5.0/60</f>
        <v/>
      </c>
      <c r="AI25" s="42">
        <f>AH25-AG25</f>
        <v/>
      </c>
    </row>
    <row r="26">
      <c r="A26" s="39" t="inlineStr">
        <is>
          <t>Coordinacion de Guardia</t>
        </is>
      </c>
      <c r="B26" s="40" t="inlineStr">
        <is>
          <t>Coordinacion de Guardia</t>
        </is>
      </c>
      <c r="C26" s="41" t="inlineStr">
        <is>
          <t>Coordinacion de guardia CM</t>
        </is>
      </c>
      <c r="D26" s="42" t="inlineStr">
        <is>
          <t>Semanal</t>
        </is>
      </c>
      <c r="E26" s="42" t="n">
        <v>15</v>
      </c>
      <c r="F26" s="43" t="inlineStr">
        <is>
          <t>Fija</t>
        </is>
      </c>
      <c r="G26" s="44" t="n"/>
      <c r="H26" s="44" t="n"/>
      <c r="I26" s="44" t="n"/>
      <c r="J26" s="45" t="n"/>
      <c r="K26" s="44" t="n"/>
      <c r="L26" s="44" t="n"/>
      <c r="M26" s="44" t="n"/>
      <c r="N26" s="44" t="n"/>
      <c r="O26" s="44" t="n"/>
      <c r="P26" s="45" t="n"/>
      <c r="Q26" s="44" t="n"/>
      <c r="R26" s="44" t="n"/>
      <c r="S26" s="44" t="n"/>
      <c r="T26" s="44" t="n"/>
      <c r="U26" s="44" t="n"/>
      <c r="V26" s="45" t="n"/>
      <c r="W26" s="44" t="n"/>
      <c r="X26" s="44" t="n"/>
      <c r="Y26" s="44" t="n"/>
      <c r="Z26" s="44" t="n"/>
      <c r="AA26" s="44" t="n"/>
      <c r="AB26" s="45" t="n"/>
      <c r="AC26" s="44" t="n"/>
      <c r="AD26" s="44" t="n"/>
      <c r="AE26" s="44" t="n"/>
      <c r="AF26" s="44" t="n"/>
      <c r="AG26" s="42" t="n">
        <v>1</v>
      </c>
      <c r="AH26" s="42">
        <f>COUNTIF(G26:AF26,"X")*15.0/60</f>
        <v/>
      </c>
      <c r="AI26" s="42">
        <f>AH26-AG26</f>
        <v/>
      </c>
    </row>
    <row r="27">
      <c r="A27" s="39" t="inlineStr">
        <is>
          <t>Coordinacion de Guardia</t>
        </is>
      </c>
      <c r="B27" s="40" t="inlineStr">
        <is>
          <t>Coordinacion de Guardia</t>
        </is>
      </c>
      <c r="C27" s="41" t="inlineStr">
        <is>
          <t>Agregar tecnico a guardia CM</t>
        </is>
      </c>
      <c r="D27" s="42" t="inlineStr">
        <is>
          <t>Semanal</t>
        </is>
      </c>
      <c r="E27" s="42" t="inlineStr">
        <is>
          <t>A confirmar</t>
        </is>
      </c>
      <c r="F27" s="43" t="inlineStr">
        <is>
          <t>Fija</t>
        </is>
      </c>
      <c r="G27" s="44" t="n"/>
      <c r="H27" s="44" t="n"/>
      <c r="I27" s="44" t="n"/>
      <c r="J27" s="44" t="n"/>
      <c r="K27" s="44" t="n"/>
      <c r="L27" s="45" t="n"/>
      <c r="M27" s="44" t="n"/>
      <c r="N27" s="44" t="n"/>
      <c r="O27" s="44" t="n"/>
      <c r="P27" s="44" t="n"/>
      <c r="Q27" s="44" t="n"/>
      <c r="R27" s="45" t="n"/>
      <c r="S27" s="44" t="n"/>
      <c r="T27" s="44" t="n"/>
      <c r="U27" s="44" t="n"/>
      <c r="V27" s="44" t="n"/>
      <c r="W27" s="44" t="n"/>
      <c r="X27" s="45" t="n"/>
      <c r="Y27" s="44" t="n"/>
      <c r="Z27" s="44" t="n"/>
      <c r="AA27" s="44" t="n"/>
      <c r="AB27" s="44" t="n"/>
      <c r="AC27" s="44" t="n"/>
      <c r="AD27" s="45" t="n"/>
      <c r="AE27" s="44" t="n"/>
      <c r="AF27" s="44" t="n"/>
      <c r="AG27" s="42" t="inlineStr">
        <is>
          <t>—</t>
        </is>
      </c>
      <c r="AH27" s="42">
        <f>COUNTIF(G27:AF27,"X")</f>
        <v/>
      </c>
      <c r="AI27" s="42" t="inlineStr">
        <is>
          <t>—</t>
        </is>
      </c>
    </row>
    <row r="28">
      <c r="A28" s="39" t="inlineStr">
        <is>
          <t>Coordinacion de Guardia</t>
        </is>
      </c>
      <c r="B28" s="40" t="inlineStr">
        <is>
          <t>Coordinacion de Guardia</t>
        </is>
      </c>
      <c r="C28" s="41" t="inlineStr">
        <is>
          <t>Sacar tecnico de guardia CM</t>
        </is>
      </c>
      <c r="D28" s="42" t="inlineStr">
        <is>
          <t>Semanal</t>
        </is>
      </c>
      <c r="E28" s="42" t="inlineStr">
        <is>
          <t>A confirmar</t>
        </is>
      </c>
      <c r="F28" s="43" t="inlineStr">
        <is>
          <t>Fija</t>
        </is>
      </c>
      <c r="G28" s="44" t="n"/>
      <c r="H28" s="44" t="n"/>
      <c r="I28" s="44" t="n"/>
      <c r="J28" s="44" t="n"/>
      <c r="K28" s="44" t="n"/>
      <c r="L28" s="45" t="n"/>
      <c r="M28" s="44" t="n"/>
      <c r="N28" s="44" t="n"/>
      <c r="O28" s="44" t="n"/>
      <c r="P28" s="44" t="n"/>
      <c r="Q28" s="44" t="n"/>
      <c r="R28" s="45" t="n"/>
      <c r="S28" s="44" t="n"/>
      <c r="T28" s="44" t="n"/>
      <c r="U28" s="44" t="n"/>
      <c r="V28" s="44" t="n"/>
      <c r="W28" s="44" t="n"/>
      <c r="X28" s="45" t="n"/>
      <c r="Y28" s="44" t="n"/>
      <c r="Z28" s="44" t="n"/>
      <c r="AA28" s="44" t="n"/>
      <c r="AB28" s="44" t="n"/>
      <c r="AC28" s="44" t="n"/>
      <c r="AD28" s="45" t="n"/>
      <c r="AE28" s="44" t="n"/>
      <c r="AF28" s="44" t="n"/>
      <c r="AG28" s="42" t="inlineStr">
        <is>
          <t>—</t>
        </is>
      </c>
      <c r="AH28" s="42">
        <f>COUNTIF(G28:AF28,"X")</f>
        <v/>
      </c>
      <c r="AI28" s="42" t="inlineStr">
        <is>
          <t>—</t>
        </is>
      </c>
    </row>
    <row r="29">
      <c r="A29" s="37" t="inlineStr">
        <is>
          <t>ODS (Ordenes de Servicio) (Martes)</t>
        </is>
      </c>
      <c r="B29" s="38" t="n"/>
      <c r="C29" s="38" t="n"/>
      <c r="D29" s="38" t="n"/>
      <c r="E29" s="38" t="n"/>
      <c r="F29" s="38" t="n"/>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38" t="n"/>
      <c r="AF29" s="38" t="n"/>
      <c r="AG29" s="38" t="n"/>
      <c r="AH29" s="38" t="n"/>
      <c r="AI29" s="38" t="n"/>
    </row>
    <row r="30">
      <c r="A30" s="39" t="inlineStr">
        <is>
          <t>ODS (Ordenes de Servicio)</t>
        </is>
      </c>
      <c r="B30" s="40" t="inlineStr">
        <is>
          <t>OS</t>
        </is>
      </c>
      <c r="C30" s="41" t="inlineStr">
        <is>
          <t>Control e impresion de O.D.S.</t>
        </is>
      </c>
      <c r="D30" s="42" t="inlineStr">
        <is>
          <t>Mensual</t>
        </is>
      </c>
      <c r="E30" s="42" t="n">
        <v>45</v>
      </c>
      <c r="F30" s="43" t="inlineStr">
        <is>
          <t>Fija</t>
        </is>
      </c>
      <c r="G30" s="44" t="n"/>
      <c r="H30" s="44" t="n"/>
      <c r="I30" s="44" t="n"/>
      <c r="J30" s="44" t="n"/>
      <c r="K30" s="44" t="n"/>
      <c r="L30" s="44" t="n"/>
      <c r="M30" s="44" t="n"/>
      <c r="N30" s="44" t="n"/>
      <c r="O30" s="44" t="n"/>
      <c r="P30" s="44" t="n"/>
      <c r="Q30" s="45" t="n"/>
      <c r="R30" s="44" t="n"/>
      <c r="S30" s="44" t="n"/>
      <c r="T30" s="44" t="n"/>
      <c r="U30" s="44" t="n"/>
      <c r="V30" s="44" t="n"/>
      <c r="W30" s="44" t="n"/>
      <c r="X30" s="44" t="n"/>
      <c r="Y30" s="44" t="n"/>
      <c r="Z30" s="44" t="n"/>
      <c r="AA30" s="44" t="n"/>
      <c r="AB30" s="44" t="n"/>
      <c r="AC30" s="44" t="n"/>
      <c r="AD30" s="44" t="n"/>
      <c r="AE30" s="44" t="n"/>
      <c r="AF30" s="44" t="n"/>
      <c r="AG30" s="42" t="n">
        <v>0.75</v>
      </c>
      <c r="AH30" s="42">
        <f>COUNTIF(G30:AF30,"X")*45.0/60</f>
        <v/>
      </c>
      <c r="AI30" s="42">
        <f>AH30-AG30</f>
        <v/>
      </c>
    </row>
    <row r="31">
      <c r="A31" s="39" t="inlineStr">
        <is>
          <t>ODS (Ordenes de Servicio)</t>
        </is>
      </c>
      <c r="B31" s="40" t="inlineStr">
        <is>
          <t>OS</t>
        </is>
      </c>
      <c r="C31" s="41" t="inlineStr">
        <is>
          <t>Control e impresion de etiquetas de baterias</t>
        </is>
      </c>
      <c r="D31" s="42" t="inlineStr">
        <is>
          <t>Mensual</t>
        </is>
      </c>
      <c r="E31" s="42" t="n">
        <v>45</v>
      </c>
      <c r="F31" s="43" t="inlineStr">
        <is>
          <t>Fija</t>
        </is>
      </c>
      <c r="G31" s="44" t="n"/>
      <c r="H31" s="44" t="n"/>
      <c r="I31" s="44" t="n"/>
      <c r="J31" s="44" t="n"/>
      <c r="K31" s="44" t="n"/>
      <c r="L31" s="44" t="n"/>
      <c r="M31" s="44" t="n"/>
      <c r="N31" s="44" t="n"/>
      <c r="O31" s="44" t="n"/>
      <c r="P31" s="44" t="n"/>
      <c r="Q31" s="45" t="n"/>
      <c r="R31" s="44" t="n"/>
      <c r="S31" s="44" t="n"/>
      <c r="T31" s="44" t="n"/>
      <c r="U31" s="44" t="n"/>
      <c r="V31" s="44" t="n"/>
      <c r="W31" s="44" t="n"/>
      <c r="X31" s="44" t="n"/>
      <c r="Y31" s="44" t="n"/>
      <c r="Z31" s="44" t="n"/>
      <c r="AA31" s="44" t="n"/>
      <c r="AB31" s="44" t="n"/>
      <c r="AC31" s="44" t="n"/>
      <c r="AD31" s="44" t="n"/>
      <c r="AE31" s="44" t="n"/>
      <c r="AF31" s="44" t="n"/>
      <c r="AG31" s="42" t="n">
        <v>0.75</v>
      </c>
      <c r="AH31" s="42">
        <f>COUNTIF(G31:AF31,"X")*45.0/60</f>
        <v/>
      </c>
      <c r="AI31" s="42">
        <f>AH31-AG31</f>
        <v/>
      </c>
    </row>
    <row r="32">
      <c r="A32" s="39" t="inlineStr">
        <is>
          <t>ODS (Ordenes de Servicio)</t>
        </is>
      </c>
      <c r="B32" s="40" t="inlineStr">
        <is>
          <t>OS</t>
        </is>
      </c>
      <c r="C32" s="41" t="inlineStr">
        <is>
          <t>Carga de N de ODS a Telegram</t>
        </is>
      </c>
      <c r="D32" s="42" t="inlineStr">
        <is>
          <t>Semanal</t>
        </is>
      </c>
      <c r="E32" s="42" t="n">
        <v>15</v>
      </c>
      <c r="F32" s="43" t="inlineStr">
        <is>
          <t>Fija</t>
        </is>
      </c>
      <c r="G32" s="44" t="n"/>
      <c r="H32" s="45" t="n"/>
      <c r="I32" s="45" t="n"/>
      <c r="J32" s="44" t="n"/>
      <c r="K32" s="44" t="n"/>
      <c r="L32" s="44" t="n"/>
      <c r="M32" s="44" t="n"/>
      <c r="N32" s="45" t="n"/>
      <c r="O32" s="45" t="n"/>
      <c r="P32" s="44" t="n"/>
      <c r="Q32" s="44" t="n"/>
      <c r="R32" s="44" t="n"/>
      <c r="S32" s="44" t="n"/>
      <c r="T32" s="45" t="n"/>
      <c r="U32" s="45" t="n"/>
      <c r="V32" s="44" t="n"/>
      <c r="W32" s="44" t="n"/>
      <c r="X32" s="44" t="n"/>
      <c r="Y32" s="44" t="n"/>
      <c r="Z32" s="45" t="n"/>
      <c r="AA32" s="45" t="n"/>
      <c r="AB32" s="44" t="n"/>
      <c r="AC32" s="44" t="n"/>
      <c r="AD32" s="44" t="n"/>
      <c r="AE32" s="44" t="n"/>
      <c r="AF32" s="45" t="n"/>
      <c r="AG32" s="42" t="n">
        <v>2.25</v>
      </c>
      <c r="AH32" s="42">
        <f>COUNTIF(G32:AF32,"X")*15.0/60</f>
        <v/>
      </c>
      <c r="AI32" s="42">
        <f>AH32-AG32</f>
        <v/>
      </c>
    </row>
    <row r="33">
      <c r="A33" s="39" t="inlineStr">
        <is>
          <t>ODS (Ordenes de Servicio)</t>
        </is>
      </c>
      <c r="B33" s="40" t="inlineStr">
        <is>
          <t>OS</t>
        </is>
      </c>
      <c r="C33" s="41" t="inlineStr">
        <is>
          <t>Carga de ODS a CM</t>
        </is>
      </c>
      <c r="D33" s="42" t="inlineStr">
        <is>
          <t>Semanal</t>
        </is>
      </c>
      <c r="E33" s="42" t="n">
        <v>360</v>
      </c>
      <c r="F33" s="43" t="inlineStr">
        <is>
          <t>Fija</t>
        </is>
      </c>
      <c r="G33" s="44" t="n"/>
      <c r="H33" s="45" t="n"/>
      <c r="I33" s="45" t="n"/>
      <c r="J33" s="44" t="n"/>
      <c r="K33" s="44" t="n"/>
      <c r="L33" s="44" t="n"/>
      <c r="M33" s="44" t="n"/>
      <c r="N33" s="45" t="n"/>
      <c r="O33" s="45" t="n"/>
      <c r="P33" s="44" t="n"/>
      <c r="Q33" s="44" t="n"/>
      <c r="R33" s="44" t="n"/>
      <c r="S33" s="44" t="n"/>
      <c r="T33" s="45" t="n"/>
      <c r="U33" s="45" t="n"/>
      <c r="V33" s="44" t="n"/>
      <c r="W33" s="44" t="n"/>
      <c r="X33" s="44" t="n"/>
      <c r="Y33" s="44" t="n"/>
      <c r="Z33" s="45" t="n"/>
      <c r="AA33" s="45" t="n"/>
      <c r="AB33" s="44" t="n"/>
      <c r="AC33" s="44" t="n"/>
      <c r="AD33" s="44" t="n"/>
      <c r="AE33" s="44" t="n"/>
      <c r="AF33" s="45" t="n"/>
      <c r="AG33" s="42" t="n">
        <v>54</v>
      </c>
      <c r="AH33" s="42">
        <f>COUNTIF(G33:AF33,"X")*360.0/60</f>
        <v/>
      </c>
      <c r="AI33" s="42">
        <f>AH33-AG33</f>
        <v/>
      </c>
    </row>
    <row r="34">
      <c r="A34" s="39" t="inlineStr">
        <is>
          <t>ODS (Ordenes de Servicio)</t>
        </is>
      </c>
      <c r="B34" s="40" t="inlineStr">
        <is>
          <t>OS</t>
        </is>
      </c>
      <c r="C34" s="41" t="inlineStr">
        <is>
          <t>Entrega de ODS a Administracion</t>
        </is>
      </c>
      <c r="D34" s="42" t="inlineStr">
        <is>
          <t>Semanal</t>
        </is>
      </c>
      <c r="E34" s="42" t="n">
        <v>10</v>
      </c>
      <c r="F34" s="43" t="inlineStr">
        <is>
          <t>Fija</t>
        </is>
      </c>
      <c r="G34" s="44" t="n"/>
      <c r="H34" s="45" t="n"/>
      <c r="I34" s="45" t="n"/>
      <c r="J34" s="44" t="n"/>
      <c r="K34" s="44" t="n"/>
      <c r="L34" s="44" t="n"/>
      <c r="M34" s="44" t="n"/>
      <c r="N34" s="45" t="n"/>
      <c r="O34" s="45" t="n"/>
      <c r="P34" s="44" t="n"/>
      <c r="Q34" s="44" t="n"/>
      <c r="R34" s="44" t="n"/>
      <c r="S34" s="44" t="n"/>
      <c r="T34" s="45" t="n"/>
      <c r="U34" s="45" t="n"/>
      <c r="V34" s="44" t="n"/>
      <c r="W34" s="44" t="n"/>
      <c r="X34" s="44" t="n"/>
      <c r="Y34" s="44" t="n"/>
      <c r="Z34" s="45" t="n"/>
      <c r="AA34" s="45" t="n"/>
      <c r="AB34" s="44" t="n"/>
      <c r="AC34" s="44" t="n"/>
      <c r="AD34" s="44" t="n"/>
      <c r="AE34" s="44" t="n"/>
      <c r="AF34" s="45" t="n"/>
      <c r="AG34" s="42" t="n">
        <v>1.5</v>
      </c>
      <c r="AH34" s="42">
        <f>COUNTIF(G34:AF34,"X")*10.0/60</f>
        <v/>
      </c>
      <c r="AI34" s="42">
        <f>AH34-AG34</f>
        <v/>
      </c>
    </row>
    <row r="35">
      <c r="A35" s="39" t="inlineStr">
        <is>
          <t>ODS (Ordenes de Servicio)</t>
        </is>
      </c>
      <c r="B35" s="40" t="inlineStr">
        <is>
          <t>OS</t>
        </is>
      </c>
      <c r="C35" s="41" t="inlineStr">
        <is>
          <t>Control de ODS cargadas y descuentos</t>
        </is>
      </c>
      <c r="D35" s="42" t="inlineStr">
        <is>
          <t>Semanal</t>
        </is>
      </c>
      <c r="E35" s="42" t="n">
        <v>30</v>
      </c>
      <c r="F35" s="43" t="inlineStr">
        <is>
          <t>Fija</t>
        </is>
      </c>
      <c r="G35" s="44" t="n"/>
      <c r="H35" s="45" t="n"/>
      <c r="I35" s="45" t="n"/>
      <c r="J35" s="44" t="n"/>
      <c r="K35" s="44" t="n"/>
      <c r="L35" s="44" t="n"/>
      <c r="M35" s="44" t="n"/>
      <c r="N35" s="45" t="n"/>
      <c r="O35" s="45" t="n"/>
      <c r="P35" s="44" t="n"/>
      <c r="Q35" s="44" t="n"/>
      <c r="R35" s="44" t="n"/>
      <c r="S35" s="44" t="n"/>
      <c r="T35" s="45" t="n"/>
      <c r="U35" s="45" t="n"/>
      <c r="V35" s="44" t="n"/>
      <c r="W35" s="44" t="n"/>
      <c r="X35" s="44" t="n"/>
      <c r="Y35" s="44" t="n"/>
      <c r="Z35" s="45" t="n"/>
      <c r="AA35" s="45" t="n"/>
      <c r="AB35" s="44" t="n"/>
      <c r="AC35" s="44" t="n"/>
      <c r="AD35" s="44" t="n"/>
      <c r="AE35" s="44" t="n"/>
      <c r="AF35" s="45" t="n"/>
      <c r="AG35" s="42" t="n">
        <v>4.5</v>
      </c>
      <c r="AH35" s="42">
        <f>COUNTIF(G35:AF35,"X")*30.0/60</f>
        <v/>
      </c>
      <c r="AI35" s="42">
        <f>AH35-AG35</f>
        <v/>
      </c>
    </row>
    <row r="36">
      <c r="A36" s="37" t="inlineStr">
        <is>
          <t>Configuracion AXPRO (RM) (Jueves)</t>
        </is>
      </c>
      <c r="B36" s="38" t="n"/>
      <c r="C36" s="38" t="n"/>
      <c r="D36" s="38" t="n"/>
      <c r="E36" s="38" t="n"/>
      <c r="F36" s="38" t="n"/>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row>
    <row r="37">
      <c r="A37" s="39" t="inlineStr">
        <is>
          <t>Configuracion AXPRO (RM)</t>
        </is>
      </c>
      <c r="B37" s="40" t="inlineStr">
        <is>
          <t>N/A</t>
        </is>
      </c>
      <c r="C37" s="41" t="inlineStr">
        <is>
          <t>Cargar factura Personal Jasper</t>
        </is>
      </c>
      <c r="D37" s="42" t="inlineStr">
        <is>
          <t>Mensual</t>
        </is>
      </c>
      <c r="E37" s="42" t="n">
        <v>15</v>
      </c>
      <c r="F37" s="43" t="inlineStr">
        <is>
          <t>Fija</t>
        </is>
      </c>
      <c r="G37" s="44" t="n"/>
      <c r="H37" s="44" t="n"/>
      <c r="I37" s="44" t="n"/>
      <c r="J37" s="44" t="n"/>
      <c r="K37" s="44" t="n"/>
      <c r="L37" s="44" t="n"/>
      <c r="M37" s="44" t="n"/>
      <c r="N37" s="44" t="n"/>
      <c r="O37" s="44" t="n"/>
      <c r="P37" s="44" t="n"/>
      <c r="Q37" s="45" t="n"/>
      <c r="R37" s="44" t="n"/>
      <c r="S37" s="44" t="n"/>
      <c r="T37" s="44" t="n"/>
      <c r="U37" s="44" t="n"/>
      <c r="V37" s="44" t="n"/>
      <c r="W37" s="44" t="n"/>
      <c r="X37" s="44" t="n"/>
      <c r="Y37" s="44" t="n"/>
      <c r="Z37" s="44" t="n"/>
      <c r="AA37" s="44" t="n"/>
      <c r="AB37" s="44" t="n"/>
      <c r="AC37" s="44" t="n"/>
      <c r="AD37" s="44" t="n"/>
      <c r="AE37" s="44" t="n"/>
      <c r="AF37" s="44" t="n"/>
      <c r="AG37" s="42" t="n">
        <v>0.25</v>
      </c>
      <c r="AH37" s="42">
        <f>COUNTIF(G37:AF37,"X")*15.0/60</f>
        <v/>
      </c>
      <c r="AI37" s="42">
        <f>AH37-AG37</f>
        <v/>
      </c>
    </row>
    <row r="38">
      <c r="A38" s="39" t="inlineStr">
        <is>
          <t>Configuracion AXPRO (RM)</t>
        </is>
      </c>
      <c r="B38" s="40" t="inlineStr">
        <is>
          <t>N/A</t>
        </is>
      </c>
      <c r="C38" s="41" t="inlineStr">
        <is>
          <t>Cargar factura Movistar Smart</t>
        </is>
      </c>
      <c r="D38" s="42" t="inlineStr">
        <is>
          <t>Mensual</t>
        </is>
      </c>
      <c r="E38" s="42" t="n">
        <v>15</v>
      </c>
      <c r="F38" s="43" t="inlineStr">
        <is>
          <t>Fija</t>
        </is>
      </c>
      <c r="G38" s="44" t="n"/>
      <c r="H38" s="44" t="n"/>
      <c r="I38" s="44" t="n"/>
      <c r="J38" s="44" t="n"/>
      <c r="K38" s="44" t="n"/>
      <c r="L38" s="44" t="n"/>
      <c r="M38" s="44" t="n"/>
      <c r="N38" s="44" t="n"/>
      <c r="O38" s="44" t="n"/>
      <c r="P38" s="44" t="n"/>
      <c r="Q38" s="45" t="n"/>
      <c r="R38" s="44" t="n"/>
      <c r="S38" s="44" t="n"/>
      <c r="T38" s="44" t="n"/>
      <c r="U38" s="44" t="n"/>
      <c r="V38" s="44" t="n"/>
      <c r="W38" s="44" t="n"/>
      <c r="X38" s="44" t="n"/>
      <c r="Y38" s="44" t="n"/>
      <c r="Z38" s="44" t="n"/>
      <c r="AA38" s="44" t="n"/>
      <c r="AB38" s="44" t="n"/>
      <c r="AC38" s="44" t="n"/>
      <c r="AD38" s="44" t="n"/>
      <c r="AE38" s="44" t="n"/>
      <c r="AF38" s="44" t="n"/>
      <c r="AG38" s="42" t="n">
        <v>0.25</v>
      </c>
      <c r="AH38" s="42">
        <f>COUNTIF(G38:AF38,"X")*15.0/60</f>
        <v/>
      </c>
      <c r="AI38" s="42">
        <f>AH38-AG38</f>
        <v/>
      </c>
    </row>
    <row r="39">
      <c r="A39" s="39" t="inlineStr">
        <is>
          <t>Configuracion AXPRO (RM)</t>
        </is>
      </c>
      <c r="B39" s="40" t="inlineStr">
        <is>
          <t>N/A</t>
        </is>
      </c>
      <c r="C39" s="41" t="inlineStr">
        <is>
          <t>Cargar factura Claro Empleados</t>
        </is>
      </c>
      <c r="D39" s="42" t="inlineStr">
        <is>
          <t>Mensual</t>
        </is>
      </c>
      <c r="E39" s="42" t="n">
        <v>15</v>
      </c>
      <c r="F39" s="43" t="inlineStr">
        <is>
          <t>Fija</t>
        </is>
      </c>
      <c r="G39" s="44" t="n"/>
      <c r="H39" s="44" t="n"/>
      <c r="I39" s="44" t="n"/>
      <c r="J39" s="44" t="n"/>
      <c r="K39" s="44" t="n"/>
      <c r="L39" s="44" t="n"/>
      <c r="M39" s="44" t="n"/>
      <c r="N39" s="44" t="n"/>
      <c r="O39" s="44" t="n"/>
      <c r="P39" s="44" t="n"/>
      <c r="Q39" s="45" t="n"/>
      <c r="R39" s="44" t="n"/>
      <c r="S39" s="44" t="n"/>
      <c r="T39" s="44" t="n"/>
      <c r="U39" s="44" t="n"/>
      <c r="V39" s="44" t="n"/>
      <c r="W39" s="44" t="n"/>
      <c r="X39" s="44" t="n"/>
      <c r="Y39" s="44" t="n"/>
      <c r="Z39" s="44" t="n"/>
      <c r="AA39" s="44" t="n"/>
      <c r="AB39" s="44" t="n"/>
      <c r="AC39" s="44" t="n"/>
      <c r="AD39" s="44" t="n"/>
      <c r="AE39" s="44" t="n"/>
      <c r="AF39" s="44" t="n"/>
      <c r="AG39" s="42" t="n">
        <v>0.25</v>
      </c>
      <c r="AH39" s="42">
        <f>COUNTIF(G39:AF39,"X")*15.0/60</f>
        <v/>
      </c>
      <c r="AI39" s="42">
        <f>AH39-AG39</f>
        <v/>
      </c>
    </row>
    <row r="40">
      <c r="A40" s="39" t="inlineStr">
        <is>
          <t>Configuracion AXPRO (RM)</t>
        </is>
      </c>
      <c r="B40" s="40" t="inlineStr">
        <is>
          <t>N/A</t>
        </is>
      </c>
      <c r="C40" s="41" t="inlineStr">
        <is>
          <t>Cargar factura Claro M2M</t>
        </is>
      </c>
      <c r="D40" s="42" t="inlineStr">
        <is>
          <t>Mensual</t>
        </is>
      </c>
      <c r="E40" s="42" t="n">
        <v>15</v>
      </c>
      <c r="F40" s="43" t="inlineStr">
        <is>
          <t>Fija</t>
        </is>
      </c>
      <c r="G40" s="44" t="n"/>
      <c r="H40" s="44" t="n"/>
      <c r="I40" s="44" t="n"/>
      <c r="J40" s="44" t="n"/>
      <c r="K40" s="44" t="n"/>
      <c r="L40" s="44" t="n"/>
      <c r="M40" s="44" t="n"/>
      <c r="N40" s="44" t="n"/>
      <c r="O40" s="44" t="n"/>
      <c r="P40" s="44" t="n"/>
      <c r="Q40" s="45" t="n"/>
      <c r="R40" s="44" t="n"/>
      <c r="S40" s="44" t="n"/>
      <c r="T40" s="44" t="n"/>
      <c r="U40" s="44" t="n"/>
      <c r="V40" s="44" t="n"/>
      <c r="W40" s="44" t="n"/>
      <c r="X40" s="44" t="n"/>
      <c r="Y40" s="44" t="n"/>
      <c r="Z40" s="44" t="n"/>
      <c r="AA40" s="44" t="n"/>
      <c r="AB40" s="44" t="n"/>
      <c r="AC40" s="44" t="n"/>
      <c r="AD40" s="44" t="n"/>
      <c r="AE40" s="44" t="n"/>
      <c r="AF40" s="44" t="n"/>
      <c r="AG40" s="42" t="n">
        <v>0.25</v>
      </c>
      <c r="AH40" s="42">
        <f>COUNTIF(G40:AF40,"X")*15.0/60</f>
        <v/>
      </c>
      <c r="AI40" s="42">
        <f>AH40-AG40</f>
        <v/>
      </c>
    </row>
    <row r="41">
      <c r="A41" s="39" t="inlineStr">
        <is>
          <t>Configuracion AXPRO (RM)</t>
        </is>
      </c>
      <c r="B41" s="40" t="inlineStr">
        <is>
          <t>N/A</t>
        </is>
      </c>
      <c r="C41" s="41" t="inlineStr">
        <is>
          <t>Cargar factura Personal M2M</t>
        </is>
      </c>
      <c r="D41" s="42" t="inlineStr">
        <is>
          <t>Mensual</t>
        </is>
      </c>
      <c r="E41" s="42" t="n">
        <v>15</v>
      </c>
      <c r="F41" s="43" t="inlineStr">
        <is>
          <t>Fija</t>
        </is>
      </c>
      <c r="G41" s="44" t="n"/>
      <c r="H41" s="44" t="n"/>
      <c r="I41" s="44" t="n"/>
      <c r="J41" s="44" t="n"/>
      <c r="K41" s="44" t="n"/>
      <c r="L41" s="44" t="n"/>
      <c r="M41" s="44" t="n"/>
      <c r="N41" s="44" t="n"/>
      <c r="O41" s="44" t="n"/>
      <c r="P41" s="44" t="n"/>
      <c r="Q41" s="44" t="n"/>
      <c r="R41" s="44" t="n"/>
      <c r="S41" s="44" t="n"/>
      <c r="T41" s="45" t="n"/>
      <c r="U41" s="44" t="n"/>
      <c r="V41" s="44" t="n"/>
      <c r="W41" s="44" t="n"/>
      <c r="X41" s="44" t="n"/>
      <c r="Y41" s="44" t="n"/>
      <c r="Z41" s="44" t="n"/>
      <c r="AA41" s="44" t="n"/>
      <c r="AB41" s="44" t="n"/>
      <c r="AC41" s="44" t="n"/>
      <c r="AD41" s="44" t="n"/>
      <c r="AE41" s="44" t="n"/>
      <c r="AF41" s="44" t="n"/>
      <c r="AG41" s="42" t="n">
        <v>0.25</v>
      </c>
      <c r="AH41" s="42">
        <f>COUNTIF(G41:AF41,"X")*15.0/60</f>
        <v/>
      </c>
      <c r="AI41" s="42">
        <f>AH41-AG41</f>
        <v/>
      </c>
    </row>
    <row r="42">
      <c r="A42" s="39" t="inlineStr">
        <is>
          <t>Configuracion AXPRO (RM)</t>
        </is>
      </c>
      <c r="B42" s="40" t="inlineStr">
        <is>
          <t>N/A</t>
        </is>
      </c>
      <c r="C42" s="41" t="inlineStr">
        <is>
          <t>Cargar factura Claro Jasper</t>
        </is>
      </c>
      <c r="D42" s="42" t="inlineStr">
        <is>
          <t>Mensual</t>
        </is>
      </c>
      <c r="E42" s="42" t="n">
        <v>15</v>
      </c>
      <c r="F42" s="43" t="inlineStr">
        <is>
          <t>Fija</t>
        </is>
      </c>
      <c r="G42" s="44" t="n"/>
      <c r="H42" s="44" t="n"/>
      <c r="I42" s="44" t="n"/>
      <c r="J42" s="44" t="n"/>
      <c r="K42" s="44" t="n"/>
      <c r="L42" s="44" t="n"/>
      <c r="M42" s="44" t="n"/>
      <c r="N42" s="44" t="n"/>
      <c r="O42" s="44" t="n"/>
      <c r="P42" s="44" t="n"/>
      <c r="Q42" s="44" t="n"/>
      <c r="R42" s="44" t="n"/>
      <c r="S42" s="44" t="n"/>
      <c r="T42" s="45" t="n"/>
      <c r="U42" s="44" t="n"/>
      <c r="V42" s="44" t="n"/>
      <c r="W42" s="44" t="n"/>
      <c r="X42" s="44" t="n"/>
      <c r="Y42" s="44" t="n"/>
      <c r="Z42" s="44" t="n"/>
      <c r="AA42" s="44" t="n"/>
      <c r="AB42" s="44" t="n"/>
      <c r="AC42" s="44" t="n"/>
      <c r="AD42" s="44" t="n"/>
      <c r="AE42" s="44" t="n"/>
      <c r="AF42" s="44" t="n"/>
      <c r="AG42" s="42" t="n">
        <v>0.25</v>
      </c>
      <c r="AH42" s="42">
        <f>COUNTIF(G42:AF42,"X")*15.0/60</f>
        <v/>
      </c>
      <c r="AI42" s="42">
        <f>AH42-AG42</f>
        <v/>
      </c>
    </row>
    <row r="43">
      <c r="A43" s="39" t="inlineStr">
        <is>
          <t>Configuracion AXPRO (RM)</t>
        </is>
      </c>
      <c r="B43" s="40" t="inlineStr">
        <is>
          <t>N/A</t>
        </is>
      </c>
      <c r="C43" s="41" t="inlineStr">
        <is>
          <t>Analisis de factura de chips</t>
        </is>
      </c>
      <c r="D43" s="42" t="inlineStr">
        <is>
          <t>Mensual</t>
        </is>
      </c>
      <c r="E43" s="42" t="n">
        <v>45</v>
      </c>
      <c r="F43" s="43" t="inlineStr">
        <is>
          <t>Fija</t>
        </is>
      </c>
      <c r="G43" s="44" t="n"/>
      <c r="H43" s="44" t="n"/>
      <c r="I43" s="44" t="n"/>
      <c r="J43" s="44" t="n"/>
      <c r="K43" s="44" t="n"/>
      <c r="L43" s="44" t="n"/>
      <c r="M43" s="44" t="n"/>
      <c r="N43" s="44" t="n"/>
      <c r="O43" s="44" t="n"/>
      <c r="P43" s="44" t="n"/>
      <c r="Q43" s="44" t="n"/>
      <c r="R43" s="44" t="n"/>
      <c r="S43" s="44" t="n"/>
      <c r="T43" s="45" t="n"/>
      <c r="U43" s="44" t="n"/>
      <c r="V43" s="44" t="n"/>
      <c r="W43" s="44" t="n"/>
      <c r="X43" s="44" t="n"/>
      <c r="Y43" s="44" t="n"/>
      <c r="Z43" s="44" t="n"/>
      <c r="AA43" s="44" t="n"/>
      <c r="AB43" s="44" t="n"/>
      <c r="AC43" s="44" t="n"/>
      <c r="AD43" s="44" t="n"/>
      <c r="AE43" s="44" t="n"/>
      <c r="AF43" s="44" t="n"/>
      <c r="AG43" s="42" t="n">
        <v>0.75</v>
      </c>
      <c r="AH43" s="42">
        <f>COUNTIF(G43:AF43,"X")*45.0/60</f>
        <v/>
      </c>
      <c r="AI43" s="42">
        <f>AH43-AG43</f>
        <v/>
      </c>
    </row>
    <row r="44">
      <c r="A44" s="39" t="inlineStr">
        <is>
          <t>Configuracion AXPRO (RM)</t>
        </is>
      </c>
      <c r="B44" s="40" t="inlineStr">
        <is>
          <t>N/A</t>
        </is>
      </c>
      <c r="C44" s="41" t="inlineStr">
        <is>
          <t>Publicar resumen de gastos de chips</t>
        </is>
      </c>
      <c r="D44" s="42" t="inlineStr">
        <is>
          <t>Mensual</t>
        </is>
      </c>
      <c r="E44" s="42" t="n">
        <v>15</v>
      </c>
      <c r="F44" s="43" t="inlineStr">
        <is>
          <t>Fija</t>
        </is>
      </c>
      <c r="G44" s="44" t="n"/>
      <c r="H44" s="44" t="n"/>
      <c r="I44" s="44" t="n"/>
      <c r="J44" s="44" t="n"/>
      <c r="K44" s="44" t="n"/>
      <c r="L44" s="44" t="n"/>
      <c r="M44" s="44" t="n"/>
      <c r="N44" s="44" t="n"/>
      <c r="O44" s="44" t="n"/>
      <c r="P44" s="44" t="n"/>
      <c r="Q44" s="44" t="n"/>
      <c r="R44" s="44" t="n"/>
      <c r="S44" s="44" t="n"/>
      <c r="T44" s="45" t="n"/>
      <c r="U44" s="44" t="n"/>
      <c r="V44" s="44" t="n"/>
      <c r="W44" s="44" t="n"/>
      <c r="X44" s="44" t="n"/>
      <c r="Y44" s="44" t="n"/>
      <c r="Z44" s="44" t="n"/>
      <c r="AA44" s="44" t="n"/>
      <c r="AB44" s="44" t="n"/>
      <c r="AC44" s="44" t="n"/>
      <c r="AD44" s="44" t="n"/>
      <c r="AE44" s="44" t="n"/>
      <c r="AF44" s="44" t="n"/>
      <c r="AG44" s="42" t="n">
        <v>0.25</v>
      </c>
      <c r="AH44" s="42">
        <f>COUNTIF(G44:AF44,"X")*15.0/60</f>
        <v/>
      </c>
      <c r="AI44" s="42">
        <f>AH44-AG44</f>
        <v/>
      </c>
    </row>
    <row r="45">
      <c r="A45" s="39" t="inlineStr">
        <is>
          <t>Configuracion AXPRO (RM)</t>
        </is>
      </c>
      <c r="B45" s="40" t="inlineStr">
        <is>
          <t>N/A</t>
        </is>
      </c>
      <c r="C45" s="41" t="inlineStr">
        <is>
          <t>Control de chips</t>
        </is>
      </c>
      <c r="D45" s="42" t="inlineStr">
        <is>
          <t>Semanal</t>
        </is>
      </c>
      <c r="E45" s="42" t="n">
        <v>45</v>
      </c>
      <c r="F45" s="43" t="inlineStr">
        <is>
          <t>Fija</t>
        </is>
      </c>
      <c r="G45" s="44" t="n"/>
      <c r="H45" s="44" t="n"/>
      <c r="I45" s="44" t="n"/>
      <c r="J45" s="44" t="n"/>
      <c r="K45" s="45" t="n"/>
      <c r="L45" s="44" t="n"/>
      <c r="M45" s="44" t="n"/>
      <c r="N45" s="44" t="n"/>
      <c r="O45" s="44" t="n"/>
      <c r="P45" s="44" t="n"/>
      <c r="Q45" s="45" t="n"/>
      <c r="R45" s="44" t="n"/>
      <c r="S45" s="44" t="n"/>
      <c r="T45" s="44" t="n"/>
      <c r="U45" s="44" t="n"/>
      <c r="V45" s="44" t="n"/>
      <c r="W45" s="45" t="n"/>
      <c r="X45" s="44" t="n"/>
      <c r="Y45" s="44" t="n"/>
      <c r="Z45" s="44" t="n"/>
      <c r="AA45" s="44" t="n"/>
      <c r="AB45" s="44" t="n"/>
      <c r="AC45" s="45" t="n"/>
      <c r="AD45" s="44" t="n"/>
      <c r="AE45" s="44" t="n"/>
      <c r="AF45" s="44" t="n"/>
      <c r="AG45" s="42" t="n">
        <v>3</v>
      </c>
      <c r="AH45" s="42">
        <f>COUNTIF(G45:AF45,"X")*45.0/60</f>
        <v/>
      </c>
      <c r="AI45" s="42">
        <f>AH45-AG45</f>
        <v/>
      </c>
    </row>
    <row r="46">
      <c r="A46" s="39" t="inlineStr">
        <is>
          <t>Configuracion AXPRO (RM)</t>
        </is>
      </c>
      <c r="B46" s="40" t="inlineStr">
        <is>
          <t>N/A</t>
        </is>
      </c>
      <c r="C46" s="41" t="inlineStr">
        <is>
          <t>Solicitar baja de chips</t>
        </is>
      </c>
      <c r="D46" s="42" t="inlineStr">
        <is>
          <t>Semanal</t>
        </is>
      </c>
      <c r="E46" s="42" t="n">
        <v>15</v>
      </c>
      <c r="F46" s="43" t="inlineStr">
        <is>
          <t>Fija</t>
        </is>
      </c>
      <c r="G46" s="44" t="n"/>
      <c r="H46" s="44" t="n"/>
      <c r="I46" s="44" t="n"/>
      <c r="J46" s="44" t="n"/>
      <c r="K46" s="45" t="n"/>
      <c r="L46" s="45" t="n"/>
      <c r="M46" s="44" t="n"/>
      <c r="N46" s="44" t="n"/>
      <c r="O46" s="44" t="n"/>
      <c r="P46" s="44" t="n"/>
      <c r="Q46" s="45" t="n"/>
      <c r="R46" s="45" t="n"/>
      <c r="S46" s="44" t="n"/>
      <c r="T46" s="44" t="n"/>
      <c r="U46" s="44" t="n"/>
      <c r="V46" s="44" t="n"/>
      <c r="W46" s="45" t="n"/>
      <c r="X46" s="45" t="n"/>
      <c r="Y46" s="44" t="n"/>
      <c r="Z46" s="44" t="n"/>
      <c r="AA46" s="44" t="n"/>
      <c r="AB46" s="44" t="n"/>
      <c r="AC46" s="45" t="n"/>
      <c r="AD46" s="45" t="n"/>
      <c r="AE46" s="44" t="n"/>
      <c r="AF46" s="44" t="n"/>
      <c r="AG46" s="42" t="n">
        <v>2</v>
      </c>
      <c r="AH46" s="42">
        <f>COUNTIF(G46:AF46,"X")*15.0/60</f>
        <v/>
      </c>
      <c r="AI46" s="42">
        <f>AH46-AG46</f>
        <v/>
      </c>
    </row>
    <row r="47">
      <c r="A47" s="39" t="inlineStr">
        <is>
          <t>Configuracion AXPRO (RM)</t>
        </is>
      </c>
      <c r="B47" s="40" t="inlineStr">
        <is>
          <t>N/A</t>
        </is>
      </c>
      <c r="C47" s="41" t="inlineStr">
        <is>
          <t>Recupero de chips</t>
        </is>
      </c>
      <c r="D47" s="42" t="inlineStr">
        <is>
          <t>Semanal</t>
        </is>
      </c>
      <c r="E47" s="42" t="n">
        <v>15</v>
      </c>
      <c r="F47" s="43" t="inlineStr">
        <is>
          <t>Fija</t>
        </is>
      </c>
      <c r="G47" s="44" t="n"/>
      <c r="H47" s="44" t="n"/>
      <c r="I47" s="44" t="n"/>
      <c r="J47" s="44" t="n"/>
      <c r="K47" s="45" t="n"/>
      <c r="L47" s="44" t="n"/>
      <c r="M47" s="44" t="n"/>
      <c r="N47" s="44" t="n"/>
      <c r="O47" s="44" t="n"/>
      <c r="P47" s="44" t="n"/>
      <c r="Q47" s="45" t="n"/>
      <c r="R47" s="44" t="n"/>
      <c r="S47" s="44" t="n"/>
      <c r="T47" s="44" t="n"/>
      <c r="U47" s="44" t="n"/>
      <c r="V47" s="44" t="n"/>
      <c r="W47" s="45" t="n"/>
      <c r="X47" s="44" t="n"/>
      <c r="Y47" s="44" t="n"/>
      <c r="Z47" s="44" t="n"/>
      <c r="AA47" s="44" t="n"/>
      <c r="AB47" s="44" t="n"/>
      <c r="AC47" s="45" t="n"/>
      <c r="AD47" s="44" t="n"/>
      <c r="AE47" s="44" t="n"/>
      <c r="AF47" s="44" t="n"/>
      <c r="AG47" s="42" t="n">
        <v>1</v>
      </c>
      <c r="AH47" s="42">
        <f>COUNTIF(G47:AF47,"X")*15.0/60</f>
        <v/>
      </c>
      <c r="AI47" s="42">
        <f>AH47-AG47</f>
        <v/>
      </c>
    </row>
    <row r="48">
      <c r="A48" s="39" t="inlineStr">
        <is>
          <t>Configuracion AXPRO (RM)</t>
        </is>
      </c>
      <c r="B48" s="40" t="inlineStr">
        <is>
          <t>N/A</t>
        </is>
      </c>
      <c r="C48" s="41" t="inlineStr">
        <is>
          <t>Activar chips (altas de lineas moviles)</t>
        </is>
      </c>
      <c r="D48" s="42" t="inlineStr">
        <is>
          <t>Semanal</t>
        </is>
      </c>
      <c r="E48" s="42" t="n">
        <v>15</v>
      </c>
      <c r="F48" s="43" t="inlineStr">
        <is>
          <t>Fija</t>
        </is>
      </c>
      <c r="G48" s="44" t="n"/>
      <c r="H48" s="44" t="n"/>
      <c r="I48" s="44" t="n"/>
      <c r="J48" s="44" t="n"/>
      <c r="K48" s="45" t="n"/>
      <c r="L48" s="44" t="n"/>
      <c r="M48" s="44" t="n"/>
      <c r="N48" s="44" t="n"/>
      <c r="O48" s="44" t="n"/>
      <c r="P48" s="44" t="n"/>
      <c r="Q48" s="45" t="n"/>
      <c r="R48" s="44" t="n"/>
      <c r="S48" s="44" t="n"/>
      <c r="T48" s="44" t="n"/>
      <c r="U48" s="44" t="n"/>
      <c r="V48" s="44" t="n"/>
      <c r="W48" s="45" t="n"/>
      <c r="X48" s="44" t="n"/>
      <c r="Y48" s="44" t="n"/>
      <c r="Z48" s="44" t="n"/>
      <c r="AA48" s="44" t="n"/>
      <c r="AB48" s="44" t="n"/>
      <c r="AC48" s="45" t="n"/>
      <c r="AD48" s="44" t="n"/>
      <c r="AE48" s="44" t="n"/>
      <c r="AF48" s="44" t="n"/>
      <c r="AG48" s="42" t="n">
        <v>1</v>
      </c>
      <c r="AH48" s="42">
        <f>COUNTIF(G48:AF48,"X")*15.0/60</f>
        <v/>
      </c>
      <c r="AI48" s="42">
        <f>AH48-AG48</f>
        <v/>
      </c>
    </row>
    <row r="49">
      <c r="A49" s="37" t="inlineStr">
        <is>
          <t>Remoto de Equipos (REE) (Miercoles)</t>
        </is>
      </c>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row>
    <row r="50">
      <c r="A50" s="39" t="inlineStr">
        <is>
          <t>Remoto de Equipos (REE)</t>
        </is>
      </c>
      <c r="B50" s="40" t="inlineStr">
        <is>
          <t>REE</t>
        </is>
      </c>
      <c r="C50" s="41" t="inlineStr">
        <is>
          <t>Carga de REE en Manager2GO</t>
        </is>
      </c>
      <c r="D50" s="42" t="inlineStr">
        <is>
          <t>Semanal</t>
        </is>
      </c>
      <c r="E50" s="42" t="n">
        <v>360</v>
      </c>
      <c r="F50" s="43" t="inlineStr">
        <is>
          <t>Fija</t>
        </is>
      </c>
      <c r="G50" s="44" t="n"/>
      <c r="H50" s="44" t="n"/>
      <c r="I50" s="44" t="n"/>
      <c r="J50" s="45" t="n"/>
      <c r="K50" s="44" t="n"/>
      <c r="L50" s="44" t="n"/>
      <c r="M50" s="44" t="n"/>
      <c r="N50" s="44" t="n"/>
      <c r="O50" s="44" t="n"/>
      <c r="P50" s="45" t="n"/>
      <c r="Q50" s="44" t="n"/>
      <c r="R50" s="44" t="n"/>
      <c r="S50" s="44" t="n"/>
      <c r="T50" s="44" t="n"/>
      <c r="U50" s="44" t="n"/>
      <c r="V50" s="45" t="n"/>
      <c r="W50" s="44" t="n"/>
      <c r="X50" s="44" t="n"/>
      <c r="Y50" s="44" t="n"/>
      <c r="Z50" s="44" t="n"/>
      <c r="AA50" s="44" t="n"/>
      <c r="AB50" s="45" t="n"/>
      <c r="AC50" s="44" t="n"/>
      <c r="AD50" s="44" t="n"/>
      <c r="AE50" s="44" t="n"/>
      <c r="AF50" s="44" t="n"/>
      <c r="AG50" s="42" t="n">
        <v>24</v>
      </c>
      <c r="AH50" s="42">
        <f>COUNTIF(G50:AF50,"X")*360.0/60</f>
        <v/>
      </c>
      <c r="AI50" s="42">
        <f>AH50-AG50</f>
        <v/>
      </c>
    </row>
    <row r="51">
      <c r="A51" s="39" t="inlineStr">
        <is>
          <t>Remoto de Equipos (REE)</t>
        </is>
      </c>
      <c r="B51" s="40" t="inlineStr">
        <is>
          <t>REE</t>
        </is>
      </c>
      <c r="C51" s="41" t="inlineStr">
        <is>
          <t>Carga de chips en REE</t>
        </is>
      </c>
      <c r="D51" s="42" t="inlineStr">
        <is>
          <t>Semanal</t>
        </is>
      </c>
      <c r="E51" s="42" t="inlineStr">
        <is>
          <t>A confirmar</t>
        </is>
      </c>
      <c r="F51" s="43" t="inlineStr">
        <is>
          <t>Fija</t>
        </is>
      </c>
      <c r="G51" s="44" t="n"/>
      <c r="H51" s="44" t="n"/>
      <c r="I51" s="44" t="n"/>
      <c r="J51" s="45" t="n"/>
      <c r="K51" s="44" t="n"/>
      <c r="L51" s="44" t="n"/>
      <c r="M51" s="44" t="n"/>
      <c r="N51" s="44" t="n"/>
      <c r="O51" s="44" t="n"/>
      <c r="P51" s="45" t="n"/>
      <c r="Q51" s="44" t="n"/>
      <c r="R51" s="44" t="n"/>
      <c r="S51" s="44" t="n"/>
      <c r="T51" s="44" t="n"/>
      <c r="U51" s="44" t="n"/>
      <c r="V51" s="45" t="n"/>
      <c r="W51" s="44" t="n"/>
      <c r="X51" s="44" t="n"/>
      <c r="Y51" s="44" t="n"/>
      <c r="Z51" s="44" t="n"/>
      <c r="AA51" s="44" t="n"/>
      <c r="AB51" s="45" t="n"/>
      <c r="AC51" s="44" t="n"/>
      <c r="AD51" s="44" t="n"/>
      <c r="AE51" s="44" t="n"/>
      <c r="AF51" s="44" t="n"/>
      <c r="AG51" s="42" t="inlineStr">
        <is>
          <t>—</t>
        </is>
      </c>
      <c r="AH51" s="42">
        <f>COUNTIF(G51:AF51,"X")</f>
        <v/>
      </c>
      <c r="AI51" s="42" t="inlineStr">
        <is>
          <t>—</t>
        </is>
      </c>
    </row>
    <row r="52">
      <c r="A52" s="39" t="inlineStr">
        <is>
          <t>Remoto de Equipos (REE)</t>
        </is>
      </c>
      <c r="B52" s="40" t="inlineStr">
        <is>
          <t>REE</t>
        </is>
      </c>
      <c r="C52" s="41" t="inlineStr">
        <is>
          <t>Carga de baterias en REE</t>
        </is>
      </c>
      <c r="D52" s="42" t="inlineStr">
        <is>
          <t>Semanal</t>
        </is>
      </c>
      <c r="E52" s="42" t="inlineStr">
        <is>
          <t>A confirmar</t>
        </is>
      </c>
      <c r="F52" s="43" t="inlineStr">
        <is>
          <t>Fija</t>
        </is>
      </c>
      <c r="G52" s="44" t="n"/>
      <c r="H52" s="44" t="n"/>
      <c r="I52" s="44" t="n"/>
      <c r="J52" s="45" t="n"/>
      <c r="K52" s="44" t="n"/>
      <c r="L52" s="44" t="n"/>
      <c r="M52" s="44" t="n"/>
      <c r="N52" s="44" t="n"/>
      <c r="O52" s="44" t="n"/>
      <c r="P52" s="45" t="n"/>
      <c r="Q52" s="44" t="n"/>
      <c r="R52" s="44" t="n"/>
      <c r="S52" s="44" t="n"/>
      <c r="T52" s="44" t="n"/>
      <c r="U52" s="44" t="n"/>
      <c r="V52" s="45" t="n"/>
      <c r="W52" s="44" t="n"/>
      <c r="X52" s="44" t="n"/>
      <c r="Y52" s="44" t="n"/>
      <c r="Z52" s="44" t="n"/>
      <c r="AA52" s="44" t="n"/>
      <c r="AB52" s="45" t="n"/>
      <c r="AC52" s="44" t="n"/>
      <c r="AD52" s="44" t="n"/>
      <c r="AE52" s="44" t="n"/>
      <c r="AF52" s="44" t="n"/>
      <c r="AG52" s="42" t="inlineStr">
        <is>
          <t>—</t>
        </is>
      </c>
      <c r="AH52" s="42">
        <f>COUNTIF(G52:AF52,"X")</f>
        <v/>
      </c>
      <c r="AI52" s="42" t="inlineStr">
        <is>
          <t>—</t>
        </is>
      </c>
    </row>
    <row r="53">
      <c r="A53" s="39" t="inlineStr">
        <is>
          <t>Remoto de Equipos (REE)</t>
        </is>
      </c>
      <c r="B53" s="40" t="inlineStr">
        <is>
          <t>REE</t>
        </is>
      </c>
      <c r="C53" s="41" t="inlineStr">
        <is>
          <t>Pasar REE a carpeta 3</t>
        </is>
      </c>
      <c r="D53" s="42" t="inlineStr">
        <is>
          <t>Semanal</t>
        </is>
      </c>
      <c r="E53" s="42" t="n">
        <v>360</v>
      </c>
      <c r="F53" s="43" t="inlineStr">
        <is>
          <t>Fija</t>
        </is>
      </c>
      <c r="G53" s="44" t="n"/>
      <c r="H53" s="44" t="n"/>
      <c r="I53" s="44" t="n"/>
      <c r="J53" s="45" t="n"/>
      <c r="K53" s="44" t="n"/>
      <c r="L53" s="44" t="n"/>
      <c r="M53" s="44" t="n"/>
      <c r="N53" s="44" t="n"/>
      <c r="O53" s="44" t="n"/>
      <c r="P53" s="45" t="n"/>
      <c r="Q53" s="44" t="n"/>
      <c r="R53" s="44" t="n"/>
      <c r="S53" s="44" t="n"/>
      <c r="T53" s="44" t="n"/>
      <c r="U53" s="44" t="n"/>
      <c r="V53" s="45" t="n"/>
      <c r="W53" s="44" t="n"/>
      <c r="X53" s="44" t="n"/>
      <c r="Y53" s="44" t="n"/>
      <c r="Z53" s="44" t="n"/>
      <c r="AA53" s="44" t="n"/>
      <c r="AB53" s="45" t="n"/>
      <c r="AC53" s="44" t="n"/>
      <c r="AD53" s="44" t="n"/>
      <c r="AE53" s="44" t="n"/>
      <c r="AF53" s="44" t="n"/>
      <c r="AG53" s="42" t="n">
        <v>24</v>
      </c>
      <c r="AH53" s="42">
        <f>COUNTIF(G53:AF53,"X")*360.0/60</f>
        <v/>
      </c>
      <c r="AI53" s="42">
        <f>AH53-AG53</f>
        <v/>
      </c>
    </row>
    <row r="54">
      <c r="A54" s="39" t="inlineStr">
        <is>
          <t>Remoto de Equipos (REE)</t>
        </is>
      </c>
      <c r="B54" s="40" t="inlineStr">
        <is>
          <t>REE</t>
        </is>
      </c>
      <c r="C54" s="41" t="inlineStr">
        <is>
          <t>Entrega de REE a Administracion</t>
        </is>
      </c>
      <c r="D54" s="42" t="inlineStr">
        <is>
          <t>Semanal</t>
        </is>
      </c>
      <c r="E54" s="42" t="n">
        <v>25</v>
      </c>
      <c r="F54" s="43" t="inlineStr">
        <is>
          <t>Fija</t>
        </is>
      </c>
      <c r="G54" s="44" t="n"/>
      <c r="H54" s="44" t="n"/>
      <c r="I54" s="44" t="n"/>
      <c r="J54" s="45" t="n"/>
      <c r="K54" s="45" t="n"/>
      <c r="L54" s="44" t="n"/>
      <c r="M54" s="44" t="n"/>
      <c r="N54" s="44" t="n"/>
      <c r="O54" s="44" t="n"/>
      <c r="P54" s="45" t="n"/>
      <c r="Q54" s="45" t="n"/>
      <c r="R54" s="44" t="n"/>
      <c r="S54" s="44" t="n"/>
      <c r="T54" s="44" t="n"/>
      <c r="U54" s="44" t="n"/>
      <c r="V54" s="45" t="n"/>
      <c r="W54" s="45" t="n"/>
      <c r="X54" s="44" t="n"/>
      <c r="Y54" s="44" t="n"/>
      <c r="Z54" s="44" t="n"/>
      <c r="AA54" s="44" t="n"/>
      <c r="AB54" s="45" t="n"/>
      <c r="AC54" s="45" t="n"/>
      <c r="AD54" s="44" t="n"/>
      <c r="AE54" s="44" t="n"/>
      <c r="AF54" s="44" t="n"/>
      <c r="AG54" s="42" t="n">
        <v>3.33</v>
      </c>
      <c r="AH54" s="42">
        <f>COUNTIF(G54:AF54,"X")*25.0/60</f>
        <v/>
      </c>
      <c r="AI54" s="42">
        <f>AH54-AG54</f>
        <v/>
      </c>
    </row>
    <row r="55">
      <c r="A55" s="39" t="inlineStr">
        <is>
          <t>Remoto de Equipos (REE)</t>
        </is>
      </c>
      <c r="B55" s="40" t="inlineStr">
        <is>
          <t>REE</t>
        </is>
      </c>
      <c r="C55" s="41" t="inlineStr">
        <is>
          <t>Adjuntar facturas a remito Manager2</t>
        </is>
      </c>
      <c r="D55" s="42" t="inlineStr">
        <is>
          <t>Semanal</t>
        </is>
      </c>
      <c r="E55" s="42" t="n">
        <v>30</v>
      </c>
      <c r="F55" s="43" t="inlineStr">
        <is>
          <t>Fija</t>
        </is>
      </c>
      <c r="G55" s="44" t="n"/>
      <c r="H55" s="44" t="n"/>
      <c r="I55" s="44" t="n"/>
      <c r="J55" s="45" t="n"/>
      <c r="K55" s="45" t="n"/>
      <c r="L55" s="44" t="n"/>
      <c r="M55" s="44" t="n"/>
      <c r="N55" s="44" t="n"/>
      <c r="O55" s="44" t="n"/>
      <c r="P55" s="45" t="n"/>
      <c r="Q55" s="45" t="n"/>
      <c r="R55" s="44" t="n"/>
      <c r="S55" s="44" t="n"/>
      <c r="T55" s="44" t="n"/>
      <c r="U55" s="44" t="n"/>
      <c r="V55" s="45" t="n"/>
      <c r="W55" s="45" t="n"/>
      <c r="X55" s="44" t="n"/>
      <c r="Y55" s="44" t="n"/>
      <c r="Z55" s="44" t="n"/>
      <c r="AA55" s="44" t="n"/>
      <c r="AB55" s="45" t="n"/>
      <c r="AC55" s="45" t="n"/>
      <c r="AD55" s="44" t="n"/>
      <c r="AE55" s="44" t="n"/>
      <c r="AF55" s="44" t="n"/>
      <c r="AG55" s="42" t="n">
        <v>4</v>
      </c>
      <c r="AH55" s="42">
        <f>COUNTIF(G55:AF55,"X")*30.0/60</f>
        <v/>
      </c>
      <c r="AI55" s="42">
        <f>AH55-AG55</f>
        <v/>
      </c>
    </row>
    <row r="56">
      <c r="A56" s="37" t="inlineStr">
        <is>
          <t>Gestion de Flota (RM)</t>
        </is>
      </c>
      <c r="B56" s="38" t="n"/>
      <c r="C56" s="38" t="n"/>
      <c r="D56" s="38" t="n"/>
      <c r="E56" s="38" t="n"/>
      <c r="F56" s="38" t="n"/>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row>
    <row r="57">
      <c r="A57" s="39" t="inlineStr">
        <is>
          <t>Gestion de Flota (RM)</t>
        </is>
      </c>
      <c r="B57" s="40" t="inlineStr">
        <is>
          <t>N/A</t>
        </is>
      </c>
      <c r="C57" s="41" t="inlineStr">
        <is>
          <t>Control ITV vehiculo AF061RG</t>
        </is>
      </c>
      <c r="D57" s="42" t="inlineStr">
        <is>
          <t>Semestral</t>
        </is>
      </c>
      <c r="E57" s="42" t="n">
        <v>5</v>
      </c>
      <c r="F57" s="43" t="inlineStr">
        <is>
          <t>No aplica este mes</t>
        </is>
      </c>
      <c r="G57" s="44" t="n"/>
      <c r="H57" s="44" t="n"/>
      <c r="I57" s="44" t="n"/>
      <c r="J57" s="44" t="n"/>
      <c r="K57" s="44" t="n"/>
      <c r="L57" s="44" t="n"/>
      <c r="M57" s="44" t="n"/>
      <c r="N57" s="44" t="n"/>
      <c r="O57" s="44" t="n"/>
      <c r="P57" s="44" t="n"/>
      <c r="Q57" s="44" t="n"/>
      <c r="R57" s="44" t="n"/>
      <c r="S57" s="44" t="n"/>
      <c r="T57" s="44" t="n"/>
      <c r="U57" s="44" t="n"/>
      <c r="V57" s="44" t="n"/>
      <c r="W57" s="44" t="n"/>
      <c r="X57" s="44" t="n"/>
      <c r="Y57" s="44" t="n"/>
      <c r="Z57" s="44" t="n"/>
      <c r="AA57" s="44" t="n"/>
      <c r="AB57" s="44" t="n"/>
      <c r="AC57" s="44" t="n"/>
      <c r="AD57" s="44" t="n"/>
      <c r="AE57" s="44" t="n"/>
      <c r="AF57" s="44" t="n"/>
      <c r="AG57" s="42" t="inlineStr">
        <is>
          <t>—</t>
        </is>
      </c>
      <c r="AH57" s="42">
        <f>COUNTIF(G57:AF57,"X")*5.0/60</f>
        <v/>
      </c>
      <c r="AI57" s="42" t="inlineStr">
        <is>
          <t>—</t>
        </is>
      </c>
    </row>
    <row r="58">
      <c r="A58" s="39" t="inlineStr">
        <is>
          <t>Gestion de Flota (RM)</t>
        </is>
      </c>
      <c r="B58" s="40" t="inlineStr">
        <is>
          <t>N/A</t>
        </is>
      </c>
      <c r="C58" s="41" t="inlineStr">
        <is>
          <t>Control impuestos vehiculo AF061RG</t>
        </is>
      </c>
      <c r="D58" s="42" t="inlineStr">
        <is>
          <t>Semestral</t>
        </is>
      </c>
      <c r="E58" s="42" t="n">
        <v>5</v>
      </c>
      <c r="F58" s="43" t="inlineStr">
        <is>
          <t>No aplica este mes</t>
        </is>
      </c>
      <c r="G58" s="44" t="n"/>
      <c r="H58" s="44" t="n"/>
      <c r="I58" s="44" t="n"/>
      <c r="J58" s="44" t="n"/>
      <c r="K58" s="44" t="n"/>
      <c r="L58" s="44" t="n"/>
      <c r="M58" s="44" t="n"/>
      <c r="N58" s="44" t="n"/>
      <c r="O58" s="44" t="n"/>
      <c r="P58" s="44" t="n"/>
      <c r="Q58" s="44" t="n"/>
      <c r="R58" s="44" t="n"/>
      <c r="S58" s="44" t="n"/>
      <c r="T58" s="44" t="n"/>
      <c r="U58" s="44" t="n"/>
      <c r="V58" s="44" t="n"/>
      <c r="W58" s="44" t="n"/>
      <c r="X58" s="44" t="n"/>
      <c r="Y58" s="44" t="n"/>
      <c r="Z58" s="44" t="n"/>
      <c r="AA58" s="44" t="n"/>
      <c r="AB58" s="44" t="n"/>
      <c r="AC58" s="44" t="n"/>
      <c r="AD58" s="44" t="n"/>
      <c r="AE58" s="44" t="n"/>
      <c r="AF58" s="44" t="n"/>
      <c r="AG58" s="42" t="inlineStr">
        <is>
          <t>—</t>
        </is>
      </c>
      <c r="AH58" s="42">
        <f>COUNTIF(G58:AF58,"X")*5.0/60</f>
        <v/>
      </c>
      <c r="AI58" s="42" t="inlineStr">
        <is>
          <t>—</t>
        </is>
      </c>
    </row>
    <row r="59">
      <c r="A59" s="39" t="inlineStr">
        <is>
          <t>Gestion de Flota (RM)</t>
        </is>
      </c>
      <c r="B59" s="40" t="inlineStr">
        <is>
          <t>N/A</t>
        </is>
      </c>
      <c r="C59" s="41" t="inlineStr">
        <is>
          <t>Control ITV vehiculo AC921LR</t>
        </is>
      </c>
      <c r="D59" s="42" t="inlineStr">
        <is>
          <t>Semestral</t>
        </is>
      </c>
      <c r="E59" s="42" t="n">
        <v>5</v>
      </c>
      <c r="F59" s="43" t="inlineStr">
        <is>
          <t>No aplica este mes</t>
        </is>
      </c>
      <c r="G59" s="44" t="n"/>
      <c r="H59" s="44" t="n"/>
      <c r="I59" s="44" t="n"/>
      <c r="J59" s="44" t="n"/>
      <c r="K59" s="44" t="n"/>
      <c r="L59" s="44" t="n"/>
      <c r="M59" s="44" t="n"/>
      <c r="N59" s="44" t="n"/>
      <c r="O59" s="44" t="n"/>
      <c r="P59" s="44" t="n"/>
      <c r="Q59" s="44" t="n"/>
      <c r="R59" s="44" t="n"/>
      <c r="S59" s="44" t="n"/>
      <c r="T59" s="44" t="n"/>
      <c r="U59" s="44" t="n"/>
      <c r="V59" s="44" t="n"/>
      <c r="W59" s="44" t="n"/>
      <c r="X59" s="44" t="n"/>
      <c r="Y59" s="44" t="n"/>
      <c r="Z59" s="44" t="n"/>
      <c r="AA59" s="44" t="n"/>
      <c r="AB59" s="44" t="n"/>
      <c r="AC59" s="44" t="n"/>
      <c r="AD59" s="44" t="n"/>
      <c r="AE59" s="44" t="n"/>
      <c r="AF59" s="44" t="n"/>
      <c r="AG59" s="42" t="inlineStr">
        <is>
          <t>—</t>
        </is>
      </c>
      <c r="AH59" s="42">
        <f>COUNTIF(G59:AF59,"X")*5.0/60</f>
        <v/>
      </c>
      <c r="AI59" s="42" t="inlineStr">
        <is>
          <t>—</t>
        </is>
      </c>
    </row>
    <row r="60">
      <c r="A60" s="39" t="inlineStr">
        <is>
          <t>Gestion de Flota (RM)</t>
        </is>
      </c>
      <c r="B60" s="40" t="inlineStr">
        <is>
          <t>N/A</t>
        </is>
      </c>
      <c r="C60" s="41" t="inlineStr">
        <is>
          <t>Control impuestos vehiculo AC921LR</t>
        </is>
      </c>
      <c r="D60" s="42" t="inlineStr">
        <is>
          <t>Semestral</t>
        </is>
      </c>
      <c r="E60" s="42" t="n">
        <v>5</v>
      </c>
      <c r="F60" s="43" t="inlineStr">
        <is>
          <t>No aplica este mes</t>
        </is>
      </c>
      <c r="G60" s="44" t="n"/>
      <c r="H60" s="44" t="n"/>
      <c r="I60" s="44" t="n"/>
      <c r="J60" s="44" t="n"/>
      <c r="K60" s="44" t="n"/>
      <c r="L60" s="44" t="n"/>
      <c r="M60" s="44" t="n"/>
      <c r="N60" s="44" t="n"/>
      <c r="O60" s="44" t="n"/>
      <c r="P60" s="44" t="n"/>
      <c r="Q60" s="44" t="n"/>
      <c r="R60" s="44" t="n"/>
      <c r="S60" s="44" t="n"/>
      <c r="T60" s="44" t="n"/>
      <c r="U60" s="44" t="n"/>
      <c r="V60" s="44" t="n"/>
      <c r="W60" s="44" t="n"/>
      <c r="X60" s="44" t="n"/>
      <c r="Y60" s="44" t="n"/>
      <c r="Z60" s="44" t="n"/>
      <c r="AA60" s="44" t="n"/>
      <c r="AB60" s="44" t="n"/>
      <c r="AC60" s="44" t="n"/>
      <c r="AD60" s="44" t="n"/>
      <c r="AE60" s="44" t="n"/>
      <c r="AF60" s="44" t="n"/>
      <c r="AG60" s="42" t="inlineStr">
        <is>
          <t>—</t>
        </is>
      </c>
      <c r="AH60" s="42">
        <f>COUNTIF(G60:AF60,"X")*5.0/60</f>
        <v/>
      </c>
      <c r="AI60" s="42" t="inlineStr">
        <is>
          <t>—</t>
        </is>
      </c>
    </row>
    <row r="61">
      <c r="A61" s="37" t="inlineStr">
        <is>
          <t>TOP10 (Lunes)</t>
        </is>
      </c>
      <c r="B61" s="38" t="n"/>
      <c r="C61" s="38" t="n"/>
      <c r="D61" s="38" t="n"/>
      <c r="E61" s="38" t="n"/>
      <c r="F61" s="38" t="n"/>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row>
    <row r="62">
      <c r="A62" s="39" t="inlineStr">
        <is>
          <t>TOP10</t>
        </is>
      </c>
      <c r="B62" s="40" t="inlineStr">
        <is>
          <t>Elaboracion y envio del informe semanal TOP10</t>
        </is>
      </c>
      <c r="C62" s="41" t="inlineStr">
        <is>
          <t>Actualizar Base de Datos de clientes (previo al informe)</t>
        </is>
      </c>
      <c r="D62" s="42" t="inlineStr">
        <is>
          <t>Semanal</t>
        </is>
      </c>
      <c r="E62" s="42" t="inlineStr">
        <is>
          <t>A confirmar</t>
        </is>
      </c>
      <c r="F62" s="43" t="inlineStr">
        <is>
          <t>Fija</t>
        </is>
      </c>
      <c r="G62" s="44" t="n"/>
      <c r="H62" s="45" t="n"/>
      <c r="I62" s="44" t="n"/>
      <c r="J62" s="44" t="n"/>
      <c r="K62" s="44" t="n"/>
      <c r="L62" s="44" t="n"/>
      <c r="M62" s="44" t="n"/>
      <c r="N62" s="45" t="n"/>
      <c r="O62" s="44" t="n"/>
      <c r="P62" s="44" t="n"/>
      <c r="Q62" s="44" t="n"/>
      <c r="R62" s="44" t="n"/>
      <c r="S62" s="44" t="n"/>
      <c r="T62" s="45" t="n"/>
      <c r="U62" s="44" t="n"/>
      <c r="V62" s="44" t="n"/>
      <c r="W62" s="44" t="n"/>
      <c r="X62" s="44" t="n"/>
      <c r="Y62" s="44" t="n"/>
      <c r="Z62" s="45" t="n"/>
      <c r="AA62" s="44" t="n"/>
      <c r="AB62" s="44" t="n"/>
      <c r="AC62" s="44" t="n"/>
      <c r="AD62" s="44" t="n"/>
      <c r="AE62" s="44" t="n"/>
      <c r="AF62" s="45" t="n"/>
      <c r="AG62" s="42" t="inlineStr">
        <is>
          <t>—</t>
        </is>
      </c>
      <c r="AH62" s="42">
        <f>COUNTIF(G62:AF62,"X")</f>
        <v/>
      </c>
      <c r="AI62" s="42" t="inlineStr">
        <is>
          <t>—</t>
        </is>
      </c>
    </row>
    <row r="63">
      <c r="A63" s="37" t="inlineStr">
        <is>
          <t>Preparacion y Directivas de ST (RM)</t>
        </is>
      </c>
      <c r="B63" s="38" t="n"/>
      <c r="C63" s="38" t="n"/>
      <c r="D63" s="38" t="n"/>
      <c r="E63" s="38" t="n"/>
      <c r="F63" s="38" t="n"/>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row>
    <row r="64">
      <c r="A64" s="39" t="inlineStr">
        <is>
          <t>Preparacion y Directivas de ST (RM)</t>
        </is>
      </c>
      <c r="B64" s="40" t="inlineStr">
        <is>
          <t>N/A</t>
        </is>
      </c>
      <c r="C64" s="41" t="inlineStr">
        <is>
          <t>Preparacion de equipos (ST)</t>
        </is>
      </c>
      <c r="D64" s="42" t="inlineStr">
        <is>
          <t>Diario</t>
        </is>
      </c>
      <c r="E64" s="42" t="inlineStr">
        <is>
          <t>A confirmar</t>
        </is>
      </c>
      <c r="F64" s="43" t="inlineStr">
        <is>
          <t>Fija</t>
        </is>
      </c>
      <c r="G64" s="45" t="n"/>
      <c r="H64" s="45" t="n"/>
      <c r="I64" s="45" t="n"/>
      <c r="J64" s="45" t="n"/>
      <c r="K64" s="45" t="n"/>
      <c r="L64" s="45" t="n"/>
      <c r="M64" s="45" t="n"/>
      <c r="N64" s="45" t="n"/>
      <c r="O64" s="45" t="n"/>
      <c r="P64" s="45" t="n"/>
      <c r="Q64" s="45" t="n"/>
      <c r="R64" s="45" t="n"/>
      <c r="S64" s="45" t="n"/>
      <c r="T64" s="45" t="n"/>
      <c r="U64" s="45" t="n"/>
      <c r="V64" s="45" t="n"/>
      <c r="W64" s="45" t="n"/>
      <c r="X64" s="45" t="n"/>
      <c r="Y64" s="45" t="n"/>
      <c r="Z64" s="45" t="n"/>
      <c r="AA64" s="45" t="n"/>
      <c r="AB64" s="45" t="n"/>
      <c r="AC64" s="45" t="n"/>
      <c r="AD64" s="45" t="n"/>
      <c r="AE64" s="45" t="n"/>
      <c r="AF64" s="45" t="n"/>
      <c r="AG64" s="42" t="inlineStr">
        <is>
          <t>—</t>
        </is>
      </c>
      <c r="AH64" s="42">
        <f>COUNTIF(G64:AF64,"X")</f>
        <v/>
      </c>
      <c r="AI64" s="42" t="inlineStr">
        <is>
          <t>—</t>
        </is>
      </c>
    </row>
    <row r="65">
      <c r="A65" s="39" t="inlineStr">
        <is>
          <t>Preparacion y Directivas de ST (RM)</t>
        </is>
      </c>
      <c r="B65" s="40" t="inlineStr">
        <is>
          <t>N/A</t>
        </is>
      </c>
      <c r="C65" s="41" t="inlineStr">
        <is>
          <t>Carga de directivas tecnicas</t>
        </is>
      </c>
      <c r="D65" s="42" t="inlineStr">
        <is>
          <t>Semanal</t>
        </is>
      </c>
      <c r="E65" s="42" t="inlineStr">
        <is>
          <t>A confirmar</t>
        </is>
      </c>
      <c r="F65" s="43" t="inlineStr">
        <is>
          <t>Fija</t>
        </is>
      </c>
      <c r="G65" s="44" t="n"/>
      <c r="H65" s="45" t="n"/>
      <c r="I65" s="44" t="n"/>
      <c r="J65" s="44" t="n"/>
      <c r="K65" s="44" t="n"/>
      <c r="L65" s="44" t="n"/>
      <c r="M65" s="44" t="n"/>
      <c r="N65" s="45" t="n"/>
      <c r="O65" s="44" t="n"/>
      <c r="P65" s="44" t="n"/>
      <c r="Q65" s="44" t="n"/>
      <c r="R65" s="44" t="n"/>
      <c r="S65" s="44" t="n"/>
      <c r="T65" s="45" t="n"/>
      <c r="U65" s="44" t="n"/>
      <c r="V65" s="44" t="n"/>
      <c r="W65" s="44" t="n"/>
      <c r="X65" s="44" t="n"/>
      <c r="Y65" s="44" t="n"/>
      <c r="Z65" s="45" t="n"/>
      <c r="AA65" s="44" t="n"/>
      <c r="AB65" s="44" t="n"/>
      <c r="AC65" s="44" t="n"/>
      <c r="AD65" s="44" t="n"/>
      <c r="AE65" s="44" t="n"/>
      <c r="AF65" s="45" t="n"/>
      <c r="AG65" s="42" t="inlineStr">
        <is>
          <t>—</t>
        </is>
      </c>
      <c r="AH65" s="42">
        <f>COUNTIF(G65:AF65,"X")</f>
        <v/>
      </c>
      <c r="AI65" s="42" t="inlineStr">
        <is>
          <t>—</t>
        </is>
      </c>
    </row>
    <row r="66">
      <c r="A66" s="39" t="inlineStr">
        <is>
          <t>Preparacion y Directivas de ST (RM)</t>
        </is>
      </c>
      <c r="B66" s="40" t="inlineStr">
        <is>
          <t>N/A</t>
        </is>
      </c>
      <c r="C66" s="41" t="inlineStr">
        <is>
          <t>Entrega de directiva a Administracion</t>
        </is>
      </c>
      <c r="D66" s="42" t="inlineStr">
        <is>
          <t>Semanal</t>
        </is>
      </c>
      <c r="E66" s="42" t="n">
        <v>15</v>
      </c>
      <c r="F66" s="43" t="inlineStr">
        <is>
          <t>Fija</t>
        </is>
      </c>
      <c r="G66" s="44" t="n"/>
      <c r="H66" s="44" t="n"/>
      <c r="I66" s="44" t="n"/>
      <c r="J66" s="45" t="n"/>
      <c r="K66" s="44" t="n"/>
      <c r="L66" s="44" t="n"/>
      <c r="M66" s="44" t="n"/>
      <c r="N66" s="44" t="n"/>
      <c r="O66" s="44" t="n"/>
      <c r="P66" s="45" t="n"/>
      <c r="Q66" s="44" t="n"/>
      <c r="R66" s="44" t="n"/>
      <c r="S66" s="44" t="n"/>
      <c r="T66" s="44" t="n"/>
      <c r="U66" s="44" t="n"/>
      <c r="V66" s="45" t="n"/>
      <c r="W66" s="44" t="n"/>
      <c r="X66" s="44" t="n"/>
      <c r="Y66" s="44" t="n"/>
      <c r="Z66" s="44" t="n"/>
      <c r="AA66" s="44" t="n"/>
      <c r="AB66" s="45" t="n"/>
      <c r="AC66" s="44" t="n"/>
      <c r="AD66" s="44" t="n"/>
      <c r="AE66" s="44" t="n"/>
      <c r="AF66" s="44" t="n"/>
      <c r="AG66" s="42" t="n">
        <v>1</v>
      </c>
      <c r="AH66" s="42">
        <f>COUNTIF(G66:AF66,"X")*15.0/60</f>
        <v/>
      </c>
      <c r="AI66" s="42">
        <f>AH66-AG66</f>
        <v/>
      </c>
    </row>
    <row r="67">
      <c r="A67" s="39" t="inlineStr">
        <is>
          <t>Preparacion y Directivas de ST (RM)</t>
        </is>
      </c>
      <c r="B67" s="40" t="inlineStr">
        <is>
          <t>N/A</t>
        </is>
      </c>
      <c r="C67" s="41" t="inlineStr">
        <is>
          <t>Control de buen estado receptoras IPR512 (R-11)</t>
        </is>
      </c>
      <c r="D67" s="42" t="inlineStr">
        <is>
          <t>Diario</t>
        </is>
      </c>
      <c r="E67" s="42" t="inlineStr">
        <is>
          <t>A confirmar</t>
        </is>
      </c>
      <c r="F67" s="43" t="inlineStr">
        <is>
          <t>Fija</t>
        </is>
      </c>
      <c r="G67" s="45" t="n"/>
      <c r="H67" s="45" t="n"/>
      <c r="I67" s="45" t="n"/>
      <c r="J67" s="45" t="n"/>
      <c r="K67" s="45" t="n"/>
      <c r="L67" s="45" t="n"/>
      <c r="M67" s="45" t="n"/>
      <c r="N67" s="45" t="n"/>
      <c r="O67" s="45" t="n"/>
      <c r="P67" s="45" t="n"/>
      <c r="Q67" s="45" t="n"/>
      <c r="R67" s="45" t="n"/>
      <c r="S67" s="45" t="n"/>
      <c r="T67" s="45" t="n"/>
      <c r="U67" s="45" t="n"/>
      <c r="V67" s="45" t="n"/>
      <c r="W67" s="45" t="n"/>
      <c r="X67" s="45" t="n"/>
      <c r="Y67" s="45" t="n"/>
      <c r="Z67" s="45" t="n"/>
      <c r="AA67" s="45" t="n"/>
      <c r="AB67" s="45" t="n"/>
      <c r="AC67" s="45" t="n"/>
      <c r="AD67" s="45" t="n"/>
      <c r="AE67" s="45" t="n"/>
      <c r="AF67" s="45" t="n"/>
      <c r="AG67" s="42" t="inlineStr">
        <is>
          <t>—</t>
        </is>
      </c>
      <c r="AH67" s="42">
        <f>COUNTIF(G67:AF67,"X")</f>
        <v/>
      </c>
      <c r="AI67" s="42" t="inlineStr">
        <is>
          <t>—</t>
        </is>
      </c>
    </row>
    <row r="68">
      <c r="A68" s="39" t="inlineStr">
        <is>
          <t>Preparacion y Directivas de ST (RM)</t>
        </is>
      </c>
      <c r="B68" s="40" t="inlineStr">
        <is>
          <t>N/A</t>
        </is>
      </c>
      <c r="C68" s="41" t="inlineStr">
        <is>
          <t>Mandar mensajes a AVATEC 02</t>
        </is>
      </c>
      <c r="D68" s="42" t="inlineStr">
        <is>
          <t>Diario</t>
        </is>
      </c>
      <c r="E68" s="42" t="inlineStr">
        <is>
          <t>A confirmar</t>
        </is>
      </c>
      <c r="F68" s="43" t="inlineStr">
        <is>
          <t>Fija</t>
        </is>
      </c>
      <c r="G68" s="45" t="n"/>
      <c r="H68" s="45" t="n"/>
      <c r="I68" s="45" t="n"/>
      <c r="J68" s="45" t="n"/>
      <c r="K68" s="45" t="n"/>
      <c r="L68" s="45" t="n"/>
      <c r="M68" s="45" t="n"/>
      <c r="N68" s="45" t="n"/>
      <c r="O68" s="45" t="n"/>
      <c r="P68" s="45" t="n"/>
      <c r="Q68" s="45" t="n"/>
      <c r="R68" s="45" t="n"/>
      <c r="S68" s="45" t="n"/>
      <c r="T68" s="45" t="n"/>
      <c r="U68" s="45" t="n"/>
      <c r="V68" s="45" t="n"/>
      <c r="W68" s="45" t="n"/>
      <c r="X68" s="45" t="n"/>
      <c r="Y68" s="45" t="n"/>
      <c r="Z68" s="45" t="n"/>
      <c r="AA68" s="45" t="n"/>
      <c r="AB68" s="45" t="n"/>
      <c r="AC68" s="45" t="n"/>
      <c r="AD68" s="45" t="n"/>
      <c r="AE68" s="45" t="n"/>
      <c r="AF68" s="45" t="n"/>
      <c r="AG68" s="42" t="inlineStr">
        <is>
          <t>—</t>
        </is>
      </c>
      <c r="AH68" s="42">
        <f>COUNTIF(G68:AF68,"X")</f>
        <v/>
      </c>
      <c r="AI68" s="42" t="inlineStr">
        <is>
          <t>—</t>
        </is>
      </c>
    </row>
    <row r="69">
      <c r="A69" s="37" t="inlineStr">
        <is>
          <t>Tareas Reactivas (Interrupciones)</t>
        </is>
      </c>
      <c r="B69" s="38" t="n"/>
      <c r="C69" s="38" t="n"/>
      <c r="D69" s="38" t="n"/>
      <c r="E69" s="38" t="n"/>
      <c r="F69" s="38" t="n"/>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row>
    <row r="70">
      <c r="A70" s="39" t="inlineStr">
        <is>
          <t>Tareas Reactivas (Interrupciones)</t>
        </is>
      </c>
      <c r="B70" s="40" t="inlineStr">
        <is>
          <t>N/A</t>
        </is>
      </c>
      <c r="C70" s="41" t="inlineStr">
        <is>
          <t>Coordinar instalaciones NCS</t>
        </is>
      </c>
      <c r="D70" s="42" t="inlineStr">
        <is>
          <t>Semanal</t>
        </is>
      </c>
      <c r="E70" s="42" t="n">
        <v>5</v>
      </c>
      <c r="F70" s="43" t="inlineStr">
        <is>
          <t>Cualquier día (reactiva)</t>
        </is>
      </c>
      <c r="G70" s="46" t="n"/>
      <c r="H70" s="46" t="n"/>
      <c r="I70" s="46" t="n"/>
      <c r="J70" s="46" t="n"/>
      <c r="K70" s="46" t="n"/>
      <c r="L70" s="46" t="n"/>
      <c r="M70" s="46" t="n"/>
      <c r="N70" s="46" t="n"/>
      <c r="O70" s="46" t="n"/>
      <c r="P70" s="46" t="n"/>
      <c r="Q70" s="46" t="n"/>
      <c r="R70" s="46" t="n"/>
      <c r="S70" s="46" t="n"/>
      <c r="T70" s="46" t="n"/>
      <c r="U70" s="46" t="n"/>
      <c r="V70" s="46" t="n"/>
      <c r="W70" s="46" t="n"/>
      <c r="X70" s="46" t="n"/>
      <c r="Y70" s="46" t="n"/>
      <c r="Z70" s="46" t="n"/>
      <c r="AA70" s="46" t="n"/>
      <c r="AB70" s="46" t="n"/>
      <c r="AC70" s="46" t="n"/>
      <c r="AD70" s="46" t="n"/>
      <c r="AE70" s="46" t="n"/>
      <c r="AF70" s="46" t="n"/>
      <c r="AG70" s="42" t="inlineStr">
        <is>
          <t>—</t>
        </is>
      </c>
      <c r="AH70" s="42">
        <f>COUNTIF(G70:AF70,"X")*5.0/60</f>
        <v/>
      </c>
      <c r="AI70" s="42" t="inlineStr">
        <is>
          <t>—</t>
        </is>
      </c>
    </row>
    <row r="71">
      <c r="A71" s="39" t="inlineStr">
        <is>
          <t>Tareas Reactivas (Interrupciones)</t>
        </is>
      </c>
      <c r="B71" s="40" t="inlineStr">
        <is>
          <t>N/A</t>
        </is>
      </c>
      <c r="C71" s="41" t="inlineStr">
        <is>
          <t>Responder informes de Monitoreo</t>
        </is>
      </c>
      <c r="D71" s="42" t="inlineStr">
        <is>
          <t>IntraDiario</t>
        </is>
      </c>
      <c r="E71" s="42" t="n">
        <v>60</v>
      </c>
      <c r="F71" s="43" t="inlineStr">
        <is>
          <t>Cualquier día (reactiva)</t>
        </is>
      </c>
      <c r="G71" s="46" t="n"/>
      <c r="H71" s="46" t="n"/>
      <c r="I71" s="46" t="n"/>
      <c r="J71" s="46" t="n"/>
      <c r="K71" s="46" t="n"/>
      <c r="L71" s="46" t="n"/>
      <c r="M71" s="46" t="n"/>
      <c r="N71" s="46" t="n"/>
      <c r="O71" s="46" t="n"/>
      <c r="P71" s="46" t="n"/>
      <c r="Q71" s="46" t="n"/>
      <c r="R71" s="46" t="n"/>
      <c r="S71" s="46" t="n"/>
      <c r="T71" s="46" t="n"/>
      <c r="U71" s="46" t="n"/>
      <c r="V71" s="46" t="n"/>
      <c r="W71" s="46" t="n"/>
      <c r="X71" s="46" t="n"/>
      <c r="Y71" s="46" t="n"/>
      <c r="Z71" s="46" t="n"/>
      <c r="AA71" s="46" t="n"/>
      <c r="AB71" s="46" t="n"/>
      <c r="AC71" s="46" t="n"/>
      <c r="AD71" s="46" t="n"/>
      <c r="AE71" s="46" t="n"/>
      <c r="AF71" s="46" t="n"/>
      <c r="AG71" s="42" t="inlineStr">
        <is>
          <t>—</t>
        </is>
      </c>
      <c r="AH71" s="42">
        <f>COUNTIF(G71:AF71,"X")*60.0/60</f>
        <v/>
      </c>
      <c r="AI71" s="42" t="inlineStr">
        <is>
          <t>—</t>
        </is>
      </c>
    </row>
    <row r="72">
      <c r="A72" s="39" t="inlineStr">
        <is>
          <t>Tareas Reactivas (Interrupciones)</t>
        </is>
      </c>
      <c r="B72" s="40" t="inlineStr">
        <is>
          <t>N/A</t>
        </is>
      </c>
      <c r="C72" s="41" t="inlineStr">
        <is>
          <t>Responder informes de Pvillarreal (CM)</t>
        </is>
      </c>
      <c r="D72" s="42" t="inlineStr">
        <is>
          <t>IntraDiario</t>
        </is>
      </c>
      <c r="E72" s="42" t="inlineStr">
        <is>
          <t>A confirmar</t>
        </is>
      </c>
      <c r="F72" s="43" t="inlineStr">
        <is>
          <t>Cualquier día (reactiva)</t>
        </is>
      </c>
      <c r="G72" s="46" t="n"/>
      <c r="H72" s="46" t="n"/>
      <c r="I72" s="46" t="n"/>
      <c r="J72" s="46" t="n"/>
      <c r="K72" s="46" t="n"/>
      <c r="L72" s="46" t="n"/>
      <c r="M72" s="46" t="n"/>
      <c r="N72" s="46" t="n"/>
      <c r="O72" s="46" t="n"/>
      <c r="P72" s="46" t="n"/>
      <c r="Q72" s="46" t="n"/>
      <c r="R72" s="46" t="n"/>
      <c r="S72" s="46" t="n"/>
      <c r="T72" s="46" t="n"/>
      <c r="U72" s="46" t="n"/>
      <c r="V72" s="46" t="n"/>
      <c r="W72" s="46" t="n"/>
      <c r="X72" s="46" t="n"/>
      <c r="Y72" s="46" t="n"/>
      <c r="Z72" s="46" t="n"/>
      <c r="AA72" s="46" t="n"/>
      <c r="AB72" s="46" t="n"/>
      <c r="AC72" s="46" t="n"/>
      <c r="AD72" s="46" t="n"/>
      <c r="AE72" s="46" t="n"/>
      <c r="AF72" s="46" t="n"/>
      <c r="AG72" s="42" t="inlineStr">
        <is>
          <t>—</t>
        </is>
      </c>
      <c r="AH72" s="42">
        <f>COUNTIF(G72:AF72,"X")</f>
        <v/>
      </c>
      <c r="AI72" s="42" t="inlineStr">
        <is>
          <t>—</t>
        </is>
      </c>
    </row>
    <row r="73">
      <c r="A73" s="39" t="inlineStr">
        <is>
          <t>Tareas Reactivas (Interrupciones)</t>
        </is>
      </c>
      <c r="B73" s="40" t="inlineStr">
        <is>
          <t>N/A</t>
        </is>
      </c>
      <c r="C73" s="41" t="inlineStr">
        <is>
          <t>Guardar y etiquetar stock que ingresa fuera de horario</t>
        </is>
      </c>
      <c r="D73" s="42" t="inlineStr">
        <is>
          <t>Quincenal</t>
        </is>
      </c>
      <c r="E73" s="42" t="n">
        <v>120</v>
      </c>
      <c r="F73" s="43" t="inlineStr">
        <is>
          <t>Cualquier día (reactiva)</t>
        </is>
      </c>
      <c r="G73" s="46" t="n"/>
      <c r="H73" s="46" t="n"/>
      <c r="I73" s="46" t="n"/>
      <c r="J73" s="46" t="n"/>
      <c r="K73" s="46" t="n"/>
      <c r="L73" s="46" t="n"/>
      <c r="M73" s="46" t="n"/>
      <c r="N73" s="46" t="n"/>
      <c r="O73" s="46" t="n"/>
      <c r="P73" s="46" t="n"/>
      <c r="Q73" s="46" t="n"/>
      <c r="R73" s="46" t="n"/>
      <c r="S73" s="46" t="n"/>
      <c r="T73" s="46" t="n"/>
      <c r="U73" s="46" t="n"/>
      <c r="V73" s="46" t="n"/>
      <c r="W73" s="46" t="n"/>
      <c r="X73" s="46" t="n"/>
      <c r="Y73" s="46" t="n"/>
      <c r="Z73" s="46" t="n"/>
      <c r="AA73" s="46" t="n"/>
      <c r="AB73" s="46" t="n"/>
      <c r="AC73" s="46" t="n"/>
      <c r="AD73" s="46" t="n"/>
      <c r="AE73" s="46" t="n"/>
      <c r="AF73" s="46" t="n"/>
      <c r="AG73" s="42" t="inlineStr">
        <is>
          <t>—</t>
        </is>
      </c>
      <c r="AH73" s="42">
        <f>COUNTIF(G73:AF73,"X")*120.0/60</f>
        <v/>
      </c>
      <c r="AI73" s="42" t="inlineStr">
        <is>
          <t>—</t>
        </is>
      </c>
    </row>
    <row r="74">
      <c r="A74" s="39" t="inlineStr">
        <is>
          <t>Tareas Reactivas (Interrupciones)</t>
        </is>
      </c>
      <c r="B74" s="40" t="inlineStr">
        <is>
          <t>N/A</t>
        </is>
      </c>
      <c r="C74" s="41" t="inlineStr">
        <is>
          <t>Recibir devolucion de instalacion (LM)</t>
        </is>
      </c>
      <c r="D74" s="42" t="inlineStr">
        <is>
          <t>Semanal</t>
        </is>
      </c>
      <c r="E74" s="42" t="n">
        <v>20</v>
      </c>
      <c r="F74" s="43" t="inlineStr">
        <is>
          <t>Fija</t>
        </is>
      </c>
      <c r="G74" s="44" t="n"/>
      <c r="H74" s="45" t="n"/>
      <c r="I74" s="44" t="n"/>
      <c r="J74" s="44" t="n"/>
      <c r="K74" s="44" t="n"/>
      <c r="L74" s="44" t="n"/>
      <c r="M74" s="44" t="n"/>
      <c r="N74" s="45" t="n"/>
      <c r="O74" s="44" t="n"/>
      <c r="P74" s="44" t="n"/>
      <c r="Q74" s="44" t="n"/>
      <c r="R74" s="44" t="n"/>
      <c r="S74" s="44" t="n"/>
      <c r="T74" s="45" t="n"/>
      <c r="U74" s="44" t="n"/>
      <c r="V74" s="44" t="n"/>
      <c r="W74" s="44" t="n"/>
      <c r="X74" s="44" t="n"/>
      <c r="Y74" s="44" t="n"/>
      <c r="Z74" s="45" t="n"/>
      <c r="AA74" s="44" t="n"/>
      <c r="AB74" s="44" t="n"/>
      <c r="AC74" s="44" t="n"/>
      <c r="AD74" s="44" t="n"/>
      <c r="AE74" s="44" t="n"/>
      <c r="AF74" s="45" t="n"/>
      <c r="AG74" s="42" t="n">
        <v>1.67</v>
      </c>
      <c r="AH74" s="42">
        <f>COUNTIF(G74:AF74,"X")*20.0/60</f>
        <v/>
      </c>
      <c r="AI74" s="42">
        <f>AH74-AG74</f>
        <v/>
      </c>
    </row>
    <row r="75">
      <c r="A75" s="39" t="inlineStr">
        <is>
          <t>Tareas Reactivas (Interrupciones)</t>
        </is>
      </c>
      <c r="B75" s="40" t="inlineStr">
        <is>
          <t>N/A</t>
        </is>
      </c>
      <c r="C75" s="41" t="inlineStr">
        <is>
          <t>Recibir devolucion de instalacion (AA)</t>
        </is>
      </c>
      <c r="D75" s="42" t="inlineStr">
        <is>
          <t>Semanal</t>
        </is>
      </c>
      <c r="E75" s="42" t="n">
        <v>20</v>
      </c>
      <c r="F75" s="43" t="inlineStr">
        <is>
          <t>Fija</t>
        </is>
      </c>
      <c r="G75" s="44" t="n"/>
      <c r="H75" s="45" t="n"/>
      <c r="I75" s="44" t="n"/>
      <c r="J75" s="44" t="n"/>
      <c r="K75" s="44" t="n"/>
      <c r="L75" s="44" t="n"/>
      <c r="M75" s="44" t="n"/>
      <c r="N75" s="45" t="n"/>
      <c r="O75" s="44" t="n"/>
      <c r="P75" s="44" t="n"/>
      <c r="Q75" s="44" t="n"/>
      <c r="R75" s="44" t="n"/>
      <c r="S75" s="44" t="n"/>
      <c r="T75" s="45" t="n"/>
      <c r="U75" s="44" t="n"/>
      <c r="V75" s="44" t="n"/>
      <c r="W75" s="44" t="n"/>
      <c r="X75" s="44" t="n"/>
      <c r="Y75" s="44" t="n"/>
      <c r="Z75" s="45" t="n"/>
      <c r="AA75" s="44" t="n"/>
      <c r="AB75" s="44" t="n"/>
      <c r="AC75" s="44" t="n"/>
      <c r="AD75" s="44" t="n"/>
      <c r="AE75" s="44" t="n"/>
      <c r="AF75" s="45" t="n"/>
      <c r="AG75" s="42" t="n">
        <v>1.67</v>
      </c>
      <c r="AH75" s="42">
        <f>COUNTIF(G75:AF75,"X")*20.0/60</f>
        <v/>
      </c>
      <c r="AI75" s="42">
        <f>AH75-AG75</f>
        <v/>
      </c>
    </row>
    <row r="76">
      <c r="A76" s="39" t="inlineStr">
        <is>
          <t>Tareas Reactivas (Interrupciones)</t>
        </is>
      </c>
      <c r="B76" s="40" t="inlineStr">
        <is>
          <t>N/A</t>
        </is>
      </c>
      <c r="C76" s="41" t="inlineStr">
        <is>
          <t>Atender telefono</t>
        </is>
      </c>
      <c r="D76" s="42" t="inlineStr">
        <is>
          <t>Diario</t>
        </is>
      </c>
      <c r="E76" s="42" t="inlineStr">
        <is>
          <t>A confirmar</t>
        </is>
      </c>
      <c r="F76" s="43" t="inlineStr">
        <is>
          <t>Cualquier día (reactiva)</t>
        </is>
      </c>
      <c r="G76" s="46" t="n"/>
      <c r="H76" s="46" t="n"/>
      <c r="I76" s="46" t="n"/>
      <c r="J76" s="46" t="n"/>
      <c r="K76" s="46" t="n"/>
      <c r="L76" s="46" t="n"/>
      <c r="M76" s="46" t="n"/>
      <c r="N76" s="46" t="n"/>
      <c r="O76" s="46" t="n"/>
      <c r="P76" s="46" t="n"/>
      <c r="Q76" s="46" t="n"/>
      <c r="R76" s="46" t="n"/>
      <c r="S76" s="46" t="n"/>
      <c r="T76" s="46" t="n"/>
      <c r="U76" s="46" t="n"/>
      <c r="V76" s="46" t="n"/>
      <c r="W76" s="46" t="n"/>
      <c r="X76" s="46" t="n"/>
      <c r="Y76" s="46" t="n"/>
      <c r="Z76" s="46" t="n"/>
      <c r="AA76" s="46" t="n"/>
      <c r="AB76" s="46" t="n"/>
      <c r="AC76" s="46" t="n"/>
      <c r="AD76" s="46" t="n"/>
      <c r="AE76" s="46" t="n"/>
      <c r="AF76" s="46" t="n"/>
      <c r="AG76" s="42" t="inlineStr">
        <is>
          <t>—</t>
        </is>
      </c>
      <c r="AH76" s="42">
        <f>COUNTIF(G76:AF76,"X")</f>
        <v/>
      </c>
      <c r="AI76" s="42" t="inlineStr">
        <is>
          <t>—</t>
        </is>
      </c>
    </row>
    <row r="77">
      <c r="A77" s="39" t="inlineStr">
        <is>
          <t>Tareas Reactivas (Interrupciones)</t>
        </is>
      </c>
      <c r="B77" s="40" t="inlineStr">
        <is>
          <t>N/A</t>
        </is>
      </c>
      <c r="C77" s="41" t="inlineStr">
        <is>
          <t>Atender tecnico en sitio</t>
        </is>
      </c>
      <c r="D77" s="42" t="inlineStr">
        <is>
          <t>Diario</t>
        </is>
      </c>
      <c r="E77" s="42" t="inlineStr">
        <is>
          <t>A confirmar</t>
        </is>
      </c>
      <c r="F77" s="43" t="inlineStr">
        <is>
          <t>Cualquier día (reactiva)</t>
        </is>
      </c>
      <c r="G77" s="46" t="n"/>
      <c r="H77" s="46" t="n"/>
      <c r="I77" s="46" t="n"/>
      <c r="J77" s="46" t="n"/>
      <c r="K77" s="46" t="n"/>
      <c r="L77" s="46" t="n"/>
      <c r="M77" s="46" t="n"/>
      <c r="N77" s="46" t="n"/>
      <c r="O77" s="46" t="n"/>
      <c r="P77" s="46" t="n"/>
      <c r="Q77" s="46" t="n"/>
      <c r="R77" s="46" t="n"/>
      <c r="S77" s="46" t="n"/>
      <c r="T77" s="46" t="n"/>
      <c r="U77" s="46" t="n"/>
      <c r="V77" s="46" t="n"/>
      <c r="W77" s="46" t="n"/>
      <c r="X77" s="46" t="n"/>
      <c r="Y77" s="46" t="n"/>
      <c r="Z77" s="46" t="n"/>
      <c r="AA77" s="46" t="n"/>
      <c r="AB77" s="46" t="n"/>
      <c r="AC77" s="46" t="n"/>
      <c r="AD77" s="46" t="n"/>
      <c r="AE77" s="46" t="n"/>
      <c r="AF77" s="46" t="n"/>
      <c r="AG77" s="42" t="inlineStr">
        <is>
          <t>—</t>
        </is>
      </c>
      <c r="AH77" s="42">
        <f>COUNTIF(G77:AF77,"X")</f>
        <v/>
      </c>
      <c r="AI77" s="42" t="inlineStr">
        <is>
          <t>—</t>
        </is>
      </c>
    </row>
    <row r="78">
      <c r="A78" s="39" t="inlineStr">
        <is>
          <t>Tareas Reactivas (Interrupciones)</t>
        </is>
      </c>
      <c r="B78" s="40" t="inlineStr">
        <is>
          <t>N/A</t>
        </is>
      </c>
      <c r="C78" s="41" t="inlineStr">
        <is>
          <t>Ingresar de forma remota por BabyWare</t>
        </is>
      </c>
      <c r="D78" s="42" t="inlineStr">
        <is>
          <t>IntraDiario</t>
        </is>
      </c>
      <c r="E78" s="42" t="inlineStr">
        <is>
          <t>A confirmar</t>
        </is>
      </c>
      <c r="F78" s="43" t="inlineStr">
        <is>
          <t>Cualquier día (reactiva)</t>
        </is>
      </c>
      <c r="G78" s="46" t="n"/>
      <c r="H78" s="46" t="n"/>
      <c r="I78" s="46" t="n"/>
      <c r="J78" s="46" t="n"/>
      <c r="K78" s="46" t="n"/>
      <c r="L78" s="46" t="n"/>
      <c r="M78" s="46" t="n"/>
      <c r="N78" s="46" t="n"/>
      <c r="O78" s="46" t="n"/>
      <c r="P78" s="46" t="n"/>
      <c r="Q78" s="46" t="n"/>
      <c r="R78" s="46" t="n"/>
      <c r="S78" s="46" t="n"/>
      <c r="T78" s="46" t="n"/>
      <c r="U78" s="46" t="n"/>
      <c r="V78" s="46" t="n"/>
      <c r="W78" s="46" t="n"/>
      <c r="X78" s="46" t="n"/>
      <c r="Y78" s="46" t="n"/>
      <c r="Z78" s="46" t="n"/>
      <c r="AA78" s="46" t="n"/>
      <c r="AB78" s="46" t="n"/>
      <c r="AC78" s="46" t="n"/>
      <c r="AD78" s="46" t="n"/>
      <c r="AE78" s="46" t="n"/>
      <c r="AF78" s="46" t="n"/>
      <c r="AG78" s="42" t="inlineStr">
        <is>
          <t>—</t>
        </is>
      </c>
      <c r="AH78" s="42">
        <f>COUNTIF(G78:AF78,"X")</f>
        <v/>
      </c>
      <c r="AI78" s="42" t="inlineStr">
        <is>
          <t>—</t>
        </is>
      </c>
    </row>
    <row r="79">
      <c r="A79" s="39" t="inlineStr">
        <is>
          <t>Tareas Reactivas (Interrupciones)</t>
        </is>
      </c>
      <c r="B79" s="40" t="inlineStr">
        <is>
          <t>N/A</t>
        </is>
      </c>
      <c r="C79" s="41" t="inlineStr">
        <is>
          <t>Mandar mensajes a Chips Jasper</t>
        </is>
      </c>
      <c r="D79" s="42" t="inlineStr">
        <is>
          <t>IntraDiario</t>
        </is>
      </c>
      <c r="E79" s="42" t="inlineStr">
        <is>
          <t>A confirmar</t>
        </is>
      </c>
      <c r="F79" s="43" t="inlineStr">
        <is>
          <t>Cualquier día (reactiva)</t>
        </is>
      </c>
      <c r="G79" s="46" t="n"/>
      <c r="H79" s="46" t="n"/>
      <c r="I79" s="46" t="n"/>
      <c r="J79" s="46" t="n"/>
      <c r="K79" s="46" t="n"/>
      <c r="L79" s="46" t="n"/>
      <c r="M79" s="46" t="n"/>
      <c r="N79" s="46" t="n"/>
      <c r="O79" s="46" t="n"/>
      <c r="P79" s="46" t="n"/>
      <c r="Q79" s="46" t="n"/>
      <c r="R79" s="46" t="n"/>
      <c r="S79" s="46" t="n"/>
      <c r="T79" s="46" t="n"/>
      <c r="U79" s="46" t="n"/>
      <c r="V79" s="46" t="n"/>
      <c r="W79" s="46" t="n"/>
      <c r="X79" s="46" t="n"/>
      <c r="Y79" s="46" t="n"/>
      <c r="Z79" s="46" t="n"/>
      <c r="AA79" s="46" t="n"/>
      <c r="AB79" s="46" t="n"/>
      <c r="AC79" s="46" t="n"/>
      <c r="AD79" s="46" t="n"/>
      <c r="AE79" s="46" t="n"/>
      <c r="AF79" s="46" t="n"/>
      <c r="AG79" s="42" t="inlineStr">
        <is>
          <t>—</t>
        </is>
      </c>
      <c r="AH79" s="42">
        <f>COUNTIF(G79:AF79,"X")</f>
        <v/>
      </c>
      <c r="AI79" s="42" t="inlineStr">
        <is>
          <t>—</t>
        </is>
      </c>
    </row>
    <row r="80">
      <c r="A80" s="39" t="inlineStr">
        <is>
          <t>Tareas Reactivas (Interrupciones)</t>
        </is>
      </c>
      <c r="B80" s="40" t="inlineStr">
        <is>
          <t>N/A</t>
        </is>
      </c>
      <c r="C80" s="41" t="inlineStr">
        <is>
          <t>Informar robo por Telegram</t>
        </is>
      </c>
      <c r="D80" s="42" t="inlineStr">
        <is>
          <t>IntraDiario</t>
        </is>
      </c>
      <c r="E80" s="42" t="inlineStr">
        <is>
          <t>A confirmar</t>
        </is>
      </c>
      <c r="F80" s="43" t="inlineStr">
        <is>
          <t>Cualquier día (reactiva)</t>
        </is>
      </c>
      <c r="G80" s="46" t="n"/>
      <c r="H80" s="46" t="n"/>
      <c r="I80" s="46" t="n"/>
      <c r="J80" s="46" t="n"/>
      <c r="K80" s="46" t="n"/>
      <c r="L80" s="46" t="n"/>
      <c r="M80" s="46" t="n"/>
      <c r="N80" s="46" t="n"/>
      <c r="O80" s="46" t="n"/>
      <c r="P80" s="46" t="n"/>
      <c r="Q80" s="46" t="n"/>
      <c r="R80" s="46" t="n"/>
      <c r="S80" s="46" t="n"/>
      <c r="T80" s="46" t="n"/>
      <c r="U80" s="46" t="n"/>
      <c r="V80" s="46" t="n"/>
      <c r="W80" s="46" t="n"/>
      <c r="X80" s="46" t="n"/>
      <c r="Y80" s="46" t="n"/>
      <c r="Z80" s="46" t="n"/>
      <c r="AA80" s="46" t="n"/>
      <c r="AB80" s="46" t="n"/>
      <c r="AC80" s="46" t="n"/>
      <c r="AD80" s="46" t="n"/>
      <c r="AE80" s="46" t="n"/>
      <c r="AF80" s="46" t="n"/>
      <c r="AG80" s="42" t="inlineStr">
        <is>
          <t>—</t>
        </is>
      </c>
      <c r="AH80" s="42">
        <f>COUNTIF(G80:AF80,"X")</f>
        <v/>
      </c>
      <c r="AI80" s="42" t="inlineStr">
        <is>
          <t>—</t>
        </is>
      </c>
    </row>
    <row r="81">
      <c r="A81" s="39" t="inlineStr">
        <is>
          <t>Tareas Reactivas (Interrupciones)</t>
        </is>
      </c>
      <c r="B81" s="40" t="inlineStr">
        <is>
          <t>N/A</t>
        </is>
      </c>
      <c r="C81" s="41" t="inlineStr">
        <is>
          <t>Atender llamadas de clientes (celular)</t>
        </is>
      </c>
      <c r="D81" s="42" t="inlineStr">
        <is>
          <t>IntraDiario</t>
        </is>
      </c>
      <c r="E81" s="42" t="inlineStr">
        <is>
          <t>A confirmar</t>
        </is>
      </c>
      <c r="F81" s="43" t="inlineStr">
        <is>
          <t>Cualquier día (reactiva)</t>
        </is>
      </c>
      <c r="G81" s="46" t="n"/>
      <c r="H81" s="46" t="n"/>
      <c r="I81" s="46" t="n"/>
      <c r="J81" s="46" t="n"/>
      <c r="K81" s="46" t="n"/>
      <c r="L81" s="46" t="n"/>
      <c r="M81" s="46" t="n"/>
      <c r="N81" s="46" t="n"/>
      <c r="O81" s="46" t="n"/>
      <c r="P81" s="46" t="n"/>
      <c r="Q81" s="46" t="n"/>
      <c r="R81" s="46" t="n"/>
      <c r="S81" s="46" t="n"/>
      <c r="T81" s="46" t="n"/>
      <c r="U81" s="46" t="n"/>
      <c r="V81" s="46" t="n"/>
      <c r="W81" s="46" t="n"/>
      <c r="X81" s="46" t="n"/>
      <c r="Y81" s="46" t="n"/>
      <c r="Z81" s="46" t="n"/>
      <c r="AA81" s="46" t="n"/>
      <c r="AB81" s="46" t="n"/>
      <c r="AC81" s="46" t="n"/>
      <c r="AD81" s="46" t="n"/>
      <c r="AE81" s="46" t="n"/>
      <c r="AF81" s="46" t="n"/>
      <c r="AG81" s="42" t="inlineStr">
        <is>
          <t>—</t>
        </is>
      </c>
      <c r="AH81" s="42">
        <f>COUNTIF(G81:AF81,"X")</f>
        <v/>
      </c>
      <c r="AI81" s="42" t="inlineStr">
        <is>
          <t>—</t>
        </is>
      </c>
    </row>
    <row r="82">
      <c r="A82" s="39" t="inlineStr">
        <is>
          <t>Tareas Reactivas (Interrupciones)</t>
        </is>
      </c>
      <c r="B82" s="40" t="inlineStr">
        <is>
          <t>N/A</t>
        </is>
      </c>
      <c r="C82" s="41" t="inlineStr">
        <is>
          <t>Carga de Servicio Tecnico (coordinacion)</t>
        </is>
      </c>
      <c r="D82" s="42" t="inlineStr">
        <is>
          <t>Diario</t>
        </is>
      </c>
      <c r="E82" s="42" t="inlineStr">
        <is>
          <t>A confirmar</t>
        </is>
      </c>
      <c r="F82" s="43" t="inlineStr">
        <is>
          <t>Fija</t>
        </is>
      </c>
      <c r="G82" s="45" t="n"/>
      <c r="H82" s="45" t="n"/>
      <c r="I82" s="45" t="n"/>
      <c r="J82" s="45" t="n"/>
      <c r="K82" s="45" t="n"/>
      <c r="L82" s="45" t="n"/>
      <c r="M82" s="45" t="n"/>
      <c r="N82" s="45" t="n"/>
      <c r="O82" s="45" t="n"/>
      <c r="P82" s="45" t="n"/>
      <c r="Q82" s="45" t="n"/>
      <c r="R82" s="45" t="n"/>
      <c r="S82" s="45" t="n"/>
      <c r="T82" s="45" t="n"/>
      <c r="U82" s="45" t="n"/>
      <c r="V82" s="45" t="n"/>
      <c r="W82" s="45" t="n"/>
      <c r="X82" s="45" t="n"/>
      <c r="Y82" s="45" t="n"/>
      <c r="Z82" s="45" t="n"/>
      <c r="AA82" s="45" t="n"/>
      <c r="AB82" s="45" t="n"/>
      <c r="AC82" s="45" t="n"/>
      <c r="AD82" s="45" t="n"/>
      <c r="AE82" s="45" t="n"/>
      <c r="AF82" s="45" t="n"/>
      <c r="AG82" s="42" t="inlineStr">
        <is>
          <t>—</t>
        </is>
      </c>
      <c r="AH82" s="42">
        <f>COUNTIF(G82:AF82,"X")</f>
        <v/>
      </c>
      <c r="AI82" s="42" t="inlineStr">
        <is>
          <t>—</t>
        </is>
      </c>
    </row>
    <row r="83">
      <c r="A83" s="37" t="inlineStr">
        <is>
          <t>Administracion General (AB)</t>
        </is>
      </c>
      <c r="B83" s="38" t="n"/>
      <c r="C83" s="38" t="n"/>
      <c r="D83" s="38" t="n"/>
      <c r="E83" s="38" t="n"/>
      <c r="F83" s="38" t="n"/>
      <c r="G83" s="38" t="n"/>
      <c r="H83" s="38" t="n"/>
      <c r="I83" s="38" t="n"/>
      <c r="J83" s="38" t="n"/>
      <c r="K83" s="38" t="n"/>
      <c r="L83" s="38" t="n"/>
      <c r="M83" s="38" t="n"/>
      <c r="N83" s="38" t="n"/>
      <c r="O83" s="38" t="n"/>
      <c r="P83" s="38" t="n"/>
      <c r="Q83" s="38" t="n"/>
      <c r="R83" s="38" t="n"/>
      <c r="S83" s="38" t="n"/>
      <c r="T83" s="38" t="n"/>
      <c r="U83" s="38" t="n"/>
      <c r="V83" s="38" t="n"/>
      <c r="W83" s="38" t="n"/>
      <c r="X83" s="38" t="n"/>
      <c r="Y83" s="38" t="n"/>
      <c r="Z83" s="38" t="n"/>
      <c r="AA83" s="38" t="n"/>
      <c r="AB83" s="38" t="n"/>
      <c r="AC83" s="38" t="n"/>
      <c r="AD83" s="38" t="n"/>
      <c r="AE83" s="38" t="n"/>
      <c r="AF83" s="38" t="n"/>
      <c r="AG83" s="38" t="n"/>
      <c r="AH83" s="38" t="n"/>
      <c r="AI83" s="38" t="n"/>
    </row>
    <row r="84">
      <c r="A84" s="39" t="inlineStr">
        <is>
          <t>Administracion General (AB)</t>
        </is>
      </c>
      <c r="B84" s="40" t="inlineStr">
        <is>
          <t>N/A</t>
        </is>
      </c>
      <c r="C84" s="41" t="inlineStr">
        <is>
          <t>Actualizacion de Datacenter / servidores</t>
        </is>
      </c>
      <c r="D84" s="42" t="inlineStr">
        <is>
          <t>Mensual</t>
        </is>
      </c>
      <c r="E84" s="42" t="inlineStr">
        <is>
          <t>A confirmar</t>
        </is>
      </c>
      <c r="F84" s="43" t="inlineStr">
        <is>
          <t>Fija</t>
        </is>
      </c>
      <c r="G84" s="45" t="n"/>
      <c r="H84" s="44" t="n"/>
      <c r="I84" s="44" t="n"/>
      <c r="J84" s="44" t="n"/>
      <c r="K84" s="44" t="n"/>
      <c r="L84" s="44" t="n"/>
      <c r="M84" s="44" t="n"/>
      <c r="N84" s="44" t="n"/>
      <c r="O84" s="44" t="n"/>
      <c r="P84" s="44" t="n"/>
      <c r="Q84" s="44" t="n"/>
      <c r="R84" s="44" t="n"/>
      <c r="S84" s="44" t="n"/>
      <c r="T84" s="44" t="n"/>
      <c r="U84" s="44" t="n"/>
      <c r="V84" s="44" t="n"/>
      <c r="W84" s="44" t="n"/>
      <c r="X84" s="44" t="n"/>
      <c r="Y84" s="44" t="n"/>
      <c r="Z84" s="44" t="n"/>
      <c r="AA84" s="44" t="n"/>
      <c r="AB84" s="44" t="n"/>
      <c r="AC84" s="44" t="n"/>
      <c r="AD84" s="44" t="n"/>
      <c r="AE84" s="44" t="n"/>
      <c r="AF84" s="44" t="n"/>
      <c r="AG84" s="42" t="inlineStr">
        <is>
          <t>—</t>
        </is>
      </c>
      <c r="AH84" s="42">
        <f>COUNTIF(G84:AF84,"X")</f>
        <v/>
      </c>
      <c r="AI84" s="42" t="inlineStr">
        <is>
          <t>—</t>
        </is>
      </c>
    </row>
    <row r="85">
      <c r="A85" s="37" t="inlineStr">
        <is>
          <t>Proceso de Cargas (nombre tentativo)</t>
        </is>
      </c>
      <c r="B85" s="38" t="n"/>
      <c r="C85" s="38" t="n"/>
      <c r="D85" s="38" t="n"/>
      <c r="E85" s="38" t="n"/>
      <c r="F85" s="38" t="n"/>
      <c r="G85" s="38" t="n"/>
      <c r="H85" s="38" t="n"/>
      <c r="I85" s="38" t="n"/>
      <c r="J85" s="38" t="n"/>
      <c r="K85" s="38" t="n"/>
      <c r="L85" s="38" t="n"/>
      <c r="M85" s="38" t="n"/>
      <c r="N85" s="38" t="n"/>
      <c r="O85" s="38" t="n"/>
      <c r="P85" s="38" t="n"/>
      <c r="Q85" s="38" t="n"/>
      <c r="R85" s="38" t="n"/>
      <c r="S85" s="38" t="n"/>
      <c r="T85" s="38" t="n"/>
      <c r="U85" s="38" t="n"/>
      <c r="V85" s="38" t="n"/>
      <c r="W85" s="38" t="n"/>
      <c r="X85" s="38" t="n"/>
      <c r="Y85" s="38" t="n"/>
      <c r="Z85" s="38" t="n"/>
      <c r="AA85" s="38" t="n"/>
      <c r="AB85" s="38" t="n"/>
      <c r="AC85" s="38" t="n"/>
      <c r="AD85" s="38" t="n"/>
      <c r="AE85" s="38" t="n"/>
      <c r="AF85" s="38" t="n"/>
      <c r="AG85" s="38" t="n"/>
      <c r="AH85" s="38" t="n"/>
      <c r="AI85" s="38" t="n"/>
    </row>
    <row r="86">
      <c r="A86" s="39" t="inlineStr">
        <is>
          <t>Proceso de Cargas (nombre tentativo)</t>
        </is>
      </c>
      <c r="B86" s="40" t="inlineStr">
        <is>
          <t>Planificacion y Carga de la Hoja de Procesos Diarios</t>
        </is>
      </c>
      <c r="C86" s="41" t="inlineStr">
        <is>
          <t>Rehacer hoja de Procesos Diarios</t>
        </is>
      </c>
      <c r="D86" s="42" t="inlineStr">
        <is>
          <t>Mensual</t>
        </is>
      </c>
      <c r="E86" s="42" t="n">
        <v>60</v>
      </c>
      <c r="F86" s="43" t="inlineStr">
        <is>
          <t>Fija</t>
        </is>
      </c>
      <c r="G86" s="44" t="n"/>
      <c r="H86" s="44" t="n"/>
      <c r="I86" s="44" t="n"/>
      <c r="J86" s="44" t="n"/>
      <c r="K86" s="44" t="n"/>
      <c r="L86" s="44" t="n"/>
      <c r="M86" s="44" t="n"/>
      <c r="N86" s="44" t="n"/>
      <c r="O86" s="44" t="n"/>
      <c r="P86" s="44" t="n"/>
      <c r="Q86" s="44" t="n"/>
      <c r="R86" s="44" t="n"/>
      <c r="S86" s="44" t="n"/>
      <c r="T86" s="44" t="n"/>
      <c r="U86" s="44" t="n"/>
      <c r="V86" s="44" t="n"/>
      <c r="W86" s="44" t="n"/>
      <c r="X86" s="44" t="n"/>
      <c r="Y86" s="44" t="n"/>
      <c r="Z86" s="44" t="n"/>
      <c r="AA86" s="44" t="n"/>
      <c r="AB86" s="44" t="n"/>
      <c r="AC86" s="44" t="n"/>
      <c r="AD86" s="44" t="n"/>
      <c r="AE86" s="44" t="n"/>
      <c r="AF86" s="45" t="n"/>
      <c r="AG86" s="42" t="n">
        <v>1</v>
      </c>
      <c r="AH86" s="42">
        <f>COUNTIF(G86:AF86,"X")*60.0/60</f>
        <v/>
      </c>
      <c r="AI86" s="42">
        <f>AH86-AG86</f>
        <v/>
      </c>
    </row>
    <row r="87">
      <c r="A87" s="39" t="inlineStr">
        <is>
          <t>Proceso de Cargas (nombre tentativo)</t>
        </is>
      </c>
      <c r="B87" s="40" t="inlineStr">
        <is>
          <t>Planificacion y Carga de la Hoja de Procesos Diarios</t>
        </is>
      </c>
      <c r="C87" s="41" t="inlineStr">
        <is>
          <t>Rehacer hoja de Procesos Diarios</t>
        </is>
      </c>
      <c r="D87" s="42" t="inlineStr">
        <is>
          <t>Mensual</t>
        </is>
      </c>
      <c r="E87" s="42" t="inlineStr">
        <is>
          <t>A confirmar</t>
        </is>
      </c>
      <c r="F87" s="43" t="inlineStr">
        <is>
          <t>Fija</t>
        </is>
      </c>
      <c r="G87" s="45" t="n"/>
      <c r="H87" s="44" t="n"/>
      <c r="I87" s="44" t="n"/>
      <c r="J87" s="44" t="n"/>
      <c r="K87" s="44" t="n"/>
      <c r="L87" s="44" t="n"/>
      <c r="M87" s="44" t="n"/>
      <c r="N87" s="44" t="n"/>
      <c r="O87" s="44" t="n"/>
      <c r="P87" s="44" t="n"/>
      <c r="Q87" s="44" t="n"/>
      <c r="R87" s="44" t="n"/>
      <c r="S87" s="44" t="n"/>
      <c r="T87" s="44" t="n"/>
      <c r="U87" s="44" t="n"/>
      <c r="V87" s="44" t="n"/>
      <c r="W87" s="44" t="n"/>
      <c r="X87" s="44" t="n"/>
      <c r="Y87" s="44" t="n"/>
      <c r="Z87" s="44" t="n"/>
      <c r="AA87" s="44" t="n"/>
      <c r="AB87" s="44" t="n"/>
      <c r="AC87" s="44" t="n"/>
      <c r="AD87" s="44" t="n"/>
      <c r="AE87" s="44" t="n"/>
      <c r="AF87" s="44" t="n"/>
      <c r="AG87" s="42" t="inlineStr">
        <is>
          <t>—</t>
        </is>
      </c>
      <c r="AH87" s="42">
        <f>COUNTIF(G87:AF87,"X")</f>
        <v/>
      </c>
      <c r="AI87" s="42" t="inlineStr">
        <is>
          <t>—</t>
        </is>
      </c>
    </row>
    <row r="88">
      <c r="A88" s="39" t="inlineStr">
        <is>
          <t>Proceso de Cargas (nombre tentativo)</t>
        </is>
      </c>
      <c r="B88" s="40" t="inlineStr">
        <is>
          <t>Planificacion y Carga de la Hoja de Procesos Diarios</t>
        </is>
      </c>
      <c r="C88" s="41" t="inlineStr">
        <is>
          <t>Completar carga de Procesos Diarios</t>
        </is>
      </c>
      <c r="D88" s="42" t="inlineStr">
        <is>
          <t>Diario</t>
        </is>
      </c>
      <c r="E88" s="42" t="n">
        <v>20</v>
      </c>
      <c r="F88" s="43" t="inlineStr">
        <is>
          <t>Fija</t>
        </is>
      </c>
      <c r="G88" s="45" t="n"/>
      <c r="H88" s="45" t="n"/>
      <c r="I88" s="45" t="n"/>
      <c r="J88" s="45" t="n"/>
      <c r="K88" s="45" t="n"/>
      <c r="L88" s="45" t="n"/>
      <c r="M88" s="45" t="n"/>
      <c r="N88" s="45" t="n"/>
      <c r="O88" s="45" t="n"/>
      <c r="P88" s="45" t="n"/>
      <c r="Q88" s="45" t="n"/>
      <c r="R88" s="45" t="n"/>
      <c r="S88" s="45" t="n"/>
      <c r="T88" s="45" t="n"/>
      <c r="U88" s="45" t="n"/>
      <c r="V88" s="45" t="n"/>
      <c r="W88" s="45" t="n"/>
      <c r="X88" s="45" t="n"/>
      <c r="Y88" s="45" t="n"/>
      <c r="Z88" s="45" t="n"/>
      <c r="AA88" s="45" t="n"/>
      <c r="AB88" s="45" t="n"/>
      <c r="AC88" s="45" t="n"/>
      <c r="AD88" s="45" t="n"/>
      <c r="AE88" s="45" t="n"/>
      <c r="AF88" s="45" t="n"/>
      <c r="AG88" s="42" t="n">
        <v>8.67</v>
      </c>
      <c r="AH88" s="42">
        <f>COUNTIF(G88:AF88,"X")*20.0/60</f>
        <v/>
      </c>
      <c r="AI88" s="42">
        <f>AH88-AG88</f>
        <v/>
      </c>
    </row>
    <row r="89">
      <c r="A89" s="39" t="inlineStr">
        <is>
          <t>Proceso de Cargas (nombre tentativo)</t>
        </is>
      </c>
      <c r="B89" s="40" t="inlineStr">
        <is>
          <t>Planificacion y Carga de la Hoja de Procesos Diarios</t>
        </is>
      </c>
      <c r="C89" s="41" t="inlineStr">
        <is>
          <t>Completar carga de Procesos Diarios</t>
        </is>
      </c>
      <c r="D89" s="42" t="inlineStr">
        <is>
          <t>Diario</t>
        </is>
      </c>
      <c r="E89" s="42" t="n">
        <v>5</v>
      </c>
      <c r="F89" s="43" t="inlineStr">
        <is>
          <t>Fija</t>
        </is>
      </c>
      <c r="G89" s="45" t="n"/>
      <c r="H89" s="45" t="n"/>
      <c r="I89" s="45" t="n"/>
      <c r="J89" s="45" t="n"/>
      <c r="K89" s="45" t="n"/>
      <c r="L89" s="45" t="n"/>
      <c r="M89" s="45" t="n"/>
      <c r="N89" s="45" t="n"/>
      <c r="O89" s="45" t="n"/>
      <c r="P89" s="45" t="n"/>
      <c r="Q89" s="45" t="n"/>
      <c r="R89" s="45" t="n"/>
      <c r="S89" s="45" t="n"/>
      <c r="T89" s="45" t="n"/>
      <c r="U89" s="45" t="n"/>
      <c r="V89" s="45" t="n"/>
      <c r="W89" s="45" t="n"/>
      <c r="X89" s="45" t="n"/>
      <c r="Y89" s="45" t="n"/>
      <c r="Z89" s="45" t="n"/>
      <c r="AA89" s="45" t="n"/>
      <c r="AB89" s="45" t="n"/>
      <c r="AC89" s="45" t="n"/>
      <c r="AD89" s="45" t="n"/>
      <c r="AE89" s="45" t="n"/>
      <c r="AF89" s="45" t="n"/>
      <c r="AG89" s="42" t="n">
        <v>2.17</v>
      </c>
      <c r="AH89" s="42">
        <f>COUNTIF(G89:AF89,"X")*5.0/60</f>
        <v/>
      </c>
      <c r="AI89" s="42">
        <f>AH89-AG89</f>
        <v/>
      </c>
    </row>
    <row r="90">
      <c r="A90" s="37" t="inlineStr">
        <is>
          <t>Sin Proceso Asignado (a un costado)</t>
        </is>
      </c>
      <c r="B90" s="38"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row>
    <row r="91">
      <c r="A91" s="39" t="inlineStr">
        <is>
          <t>Sin Proceso Asignado (a un costado)</t>
        </is>
      </c>
      <c r="B91" s="40" t="inlineStr">
        <is>
          <t>N/A</t>
        </is>
      </c>
      <c r="C91" s="41" t="inlineStr">
        <is>
          <t>Subir publicidad en WhatsApp</t>
        </is>
      </c>
      <c r="D91" s="42" t="inlineStr">
        <is>
          <t>Diario</t>
        </is>
      </c>
      <c r="E91" s="42" t="n">
        <v>5</v>
      </c>
      <c r="F91" s="43" t="inlineStr">
        <is>
          <t>Fija</t>
        </is>
      </c>
      <c r="G91" s="45" t="n"/>
      <c r="H91" s="45" t="n"/>
      <c r="I91" s="45" t="n"/>
      <c r="J91" s="45" t="n"/>
      <c r="K91" s="45" t="n"/>
      <c r="L91" s="45" t="n"/>
      <c r="M91" s="45" t="n"/>
      <c r="N91" s="45" t="n"/>
      <c r="O91" s="45" t="n"/>
      <c r="P91" s="45" t="n"/>
      <c r="Q91" s="45" t="n"/>
      <c r="R91" s="45" t="n"/>
      <c r="S91" s="45" t="n"/>
      <c r="T91" s="45" t="n"/>
      <c r="U91" s="45" t="n"/>
      <c r="V91" s="45" t="n"/>
      <c r="W91" s="45" t="n"/>
      <c r="X91" s="45" t="n"/>
      <c r="Y91" s="45" t="n"/>
      <c r="Z91" s="45" t="n"/>
      <c r="AA91" s="45" t="n"/>
      <c r="AB91" s="45" t="n"/>
      <c r="AC91" s="45" t="n"/>
      <c r="AD91" s="45" t="n"/>
      <c r="AE91" s="45" t="n"/>
      <c r="AF91" s="45" t="n"/>
      <c r="AG91" s="42" t="n">
        <v>2.17</v>
      </c>
      <c r="AH91" s="42">
        <f>COUNTIF(G91:AF91,"X")*5.0/60</f>
        <v/>
      </c>
      <c r="AI91" s="42">
        <f>AH91-AG91</f>
        <v/>
      </c>
    </row>
    <row r="92">
      <c r="A92" s="39" t="inlineStr">
        <is>
          <t>Sin Proceso Asignado (a un costado)</t>
        </is>
      </c>
      <c r="B92" s="40" t="inlineStr">
        <is>
          <t>N/A</t>
        </is>
      </c>
      <c r="C92" s="41" t="inlineStr">
        <is>
          <t>Subir publicidad en WhatsApp</t>
        </is>
      </c>
      <c r="D92" s="42" t="inlineStr">
        <is>
          <t>Diario</t>
        </is>
      </c>
      <c r="E92" s="42" t="n">
        <v>5</v>
      </c>
      <c r="F92" s="43" t="inlineStr">
        <is>
          <t>Fija</t>
        </is>
      </c>
      <c r="G92" s="45" t="n"/>
      <c r="H92" s="45" t="n"/>
      <c r="I92" s="45" t="n"/>
      <c r="J92" s="45" t="n"/>
      <c r="K92" s="45" t="n"/>
      <c r="L92" s="45" t="n"/>
      <c r="M92" s="45" t="n"/>
      <c r="N92" s="45" t="n"/>
      <c r="O92" s="45" t="n"/>
      <c r="P92" s="45" t="n"/>
      <c r="Q92" s="45" t="n"/>
      <c r="R92" s="45" t="n"/>
      <c r="S92" s="45" t="n"/>
      <c r="T92" s="45" t="n"/>
      <c r="U92" s="45" t="n"/>
      <c r="V92" s="45" t="n"/>
      <c r="W92" s="45" t="n"/>
      <c r="X92" s="45" t="n"/>
      <c r="Y92" s="45" t="n"/>
      <c r="Z92" s="45" t="n"/>
      <c r="AA92" s="45" t="n"/>
      <c r="AB92" s="45" t="n"/>
      <c r="AC92" s="45" t="n"/>
      <c r="AD92" s="45" t="n"/>
      <c r="AE92" s="45" t="n"/>
      <c r="AF92" s="45" t="n"/>
      <c r="AG92" s="42" t="n">
        <v>2.17</v>
      </c>
      <c r="AH92" s="42">
        <f>COUNTIF(G92:AF92,"X")*5.0/60</f>
        <v/>
      </c>
      <c r="AI92" s="42">
        <f>AH92-AG92</f>
        <v/>
      </c>
    </row>
    <row r="93">
      <c r="A93" s="39" t="inlineStr">
        <is>
          <t>Sin Proceso Asignado (a un costado)</t>
        </is>
      </c>
      <c r="B93" s="40" t="inlineStr">
        <is>
          <t>N/A</t>
        </is>
      </c>
      <c r="C93" s="41" t="inlineStr">
        <is>
          <t>Ordenar escritorio</t>
        </is>
      </c>
      <c r="D93" s="42" t="inlineStr">
        <is>
          <t>Diario</t>
        </is>
      </c>
      <c r="E93" s="42" t="n">
        <v>10</v>
      </c>
      <c r="F93" s="43" t="inlineStr">
        <is>
          <t>Fija</t>
        </is>
      </c>
      <c r="G93" s="45" t="n"/>
      <c r="H93" s="45" t="n"/>
      <c r="I93" s="45" t="n"/>
      <c r="J93" s="45" t="n"/>
      <c r="K93" s="45" t="n"/>
      <c r="L93" s="45" t="n"/>
      <c r="M93" s="45" t="n"/>
      <c r="N93" s="45" t="n"/>
      <c r="O93" s="45" t="n"/>
      <c r="P93" s="45" t="n"/>
      <c r="Q93" s="45" t="n"/>
      <c r="R93" s="45" t="n"/>
      <c r="S93" s="45" t="n"/>
      <c r="T93" s="45" t="n"/>
      <c r="U93" s="45" t="n"/>
      <c r="V93" s="45" t="n"/>
      <c r="W93" s="45" t="n"/>
      <c r="X93" s="45" t="n"/>
      <c r="Y93" s="45" t="n"/>
      <c r="Z93" s="45" t="n"/>
      <c r="AA93" s="45" t="n"/>
      <c r="AB93" s="45" t="n"/>
      <c r="AC93" s="45" t="n"/>
      <c r="AD93" s="45" t="n"/>
      <c r="AE93" s="45" t="n"/>
      <c r="AF93" s="45" t="n"/>
      <c r="AG93" s="42" t="n">
        <v>4.33</v>
      </c>
      <c r="AH93" s="42">
        <f>COUNTIF(G93:AF93,"X")*10.0/60</f>
        <v/>
      </c>
      <c r="AI93" s="42">
        <f>AH93-AG93</f>
        <v/>
      </c>
    </row>
    <row r="94">
      <c r="A94" s="39" t="inlineStr">
        <is>
          <t>Sin Proceso Asignado (a un costado)</t>
        </is>
      </c>
      <c r="B94" s="40" t="inlineStr">
        <is>
          <t>N/A</t>
        </is>
      </c>
      <c r="C94" s="41" t="inlineStr">
        <is>
          <t>Ordenar escritorio</t>
        </is>
      </c>
      <c r="D94" s="42" t="inlineStr">
        <is>
          <t>Diario</t>
        </is>
      </c>
      <c r="E94" s="42" t="n">
        <v>10</v>
      </c>
      <c r="F94" s="43" t="inlineStr">
        <is>
          <t>Fija</t>
        </is>
      </c>
      <c r="G94" s="45" t="n"/>
      <c r="H94" s="45" t="n"/>
      <c r="I94" s="45" t="n"/>
      <c r="J94" s="45" t="n"/>
      <c r="K94" s="45" t="n"/>
      <c r="L94" s="45" t="n"/>
      <c r="M94" s="45" t="n"/>
      <c r="N94" s="45" t="n"/>
      <c r="O94" s="45" t="n"/>
      <c r="P94" s="45" t="n"/>
      <c r="Q94" s="45" t="n"/>
      <c r="R94" s="45" t="n"/>
      <c r="S94" s="45" t="n"/>
      <c r="T94" s="45" t="n"/>
      <c r="U94" s="45" t="n"/>
      <c r="V94" s="45" t="n"/>
      <c r="W94" s="45" t="n"/>
      <c r="X94" s="45" t="n"/>
      <c r="Y94" s="45" t="n"/>
      <c r="Z94" s="45" t="n"/>
      <c r="AA94" s="45" t="n"/>
      <c r="AB94" s="45" t="n"/>
      <c r="AC94" s="45" t="n"/>
      <c r="AD94" s="45" t="n"/>
      <c r="AE94" s="45" t="n"/>
      <c r="AF94" s="45" t="n"/>
      <c r="AG94" s="42" t="n">
        <v>4.33</v>
      </c>
      <c r="AH94" s="42">
        <f>COUNTIF(G94:AF94,"X")*10.0/60</f>
        <v/>
      </c>
      <c r="AI94" s="42">
        <f>AH94-AG94</f>
        <v/>
      </c>
    </row>
    <row r="95">
      <c r="A95" s="39" t="inlineStr">
        <is>
          <t>Sin Proceso Asignado (a un costado)</t>
        </is>
      </c>
      <c r="B95" s="40" t="inlineStr">
        <is>
          <t>N/A</t>
        </is>
      </c>
      <c r="C95" s="41" t="inlineStr">
        <is>
          <t>Preparacion de equipos de instalacion (ST)</t>
        </is>
      </c>
      <c r="D95" s="42" t="inlineStr">
        <is>
          <t>A Demanda</t>
        </is>
      </c>
      <c r="E95" s="42" t="n">
        <v>30</v>
      </c>
      <c r="F95" s="43" t="inlineStr">
        <is>
          <t>Cualquier día (reactiva)</t>
        </is>
      </c>
      <c r="G95" s="46" t="n"/>
      <c r="H95" s="46" t="n"/>
      <c r="I95" s="46" t="n"/>
      <c r="J95" s="46" t="n"/>
      <c r="K95" s="46" t="n"/>
      <c r="L95" s="46" t="n"/>
      <c r="M95" s="46" t="n"/>
      <c r="N95" s="46" t="n"/>
      <c r="O95" s="46" t="n"/>
      <c r="P95" s="46" t="n"/>
      <c r="Q95" s="46" t="n"/>
      <c r="R95" s="46" t="n"/>
      <c r="S95" s="46" t="n"/>
      <c r="T95" s="46" t="n"/>
      <c r="U95" s="46" t="n"/>
      <c r="V95" s="46" t="n"/>
      <c r="W95" s="46" t="n"/>
      <c r="X95" s="46" t="n"/>
      <c r="Y95" s="46" t="n"/>
      <c r="Z95" s="46" t="n"/>
      <c r="AA95" s="46" t="n"/>
      <c r="AB95" s="46" t="n"/>
      <c r="AC95" s="46" t="n"/>
      <c r="AD95" s="46" t="n"/>
      <c r="AE95" s="46" t="n"/>
      <c r="AF95" s="46" t="n"/>
      <c r="AG95" s="42" t="inlineStr">
        <is>
          <t>—</t>
        </is>
      </c>
      <c r="AH95" s="42">
        <f>COUNTIF(G95:AF95,"X")*30.0/60</f>
        <v/>
      </c>
      <c r="AI95" s="42" t="inlineStr">
        <is>
          <t>—</t>
        </is>
      </c>
    </row>
    <row r="96">
      <c r="A96" s="37" t="inlineStr">
        <is>
          <t>Stock (Viernes)</t>
        </is>
      </c>
      <c r="B96" s="38" t="n"/>
      <c r="C96" s="38" t="n"/>
      <c r="D96" s="38" t="n"/>
      <c r="E96" s="38" t="n"/>
      <c r="F96" s="38" t="n"/>
      <c r="G96" s="38" t="n"/>
      <c r="H96" s="38" t="n"/>
      <c r="I96" s="38" t="n"/>
      <c r="J96" s="38" t="n"/>
      <c r="K96" s="38" t="n"/>
      <c r="L96" s="38" t="n"/>
      <c r="M96" s="38" t="n"/>
      <c r="N96" s="38" t="n"/>
      <c r="O96" s="38" t="n"/>
      <c r="P96" s="38" t="n"/>
      <c r="Q96" s="38" t="n"/>
      <c r="R96" s="38" t="n"/>
      <c r="S96" s="38" t="n"/>
      <c r="T96" s="38" t="n"/>
      <c r="U96" s="38" t="n"/>
      <c r="V96" s="38" t="n"/>
      <c r="W96" s="38" t="n"/>
      <c r="X96" s="38" t="n"/>
      <c r="Y96" s="38" t="n"/>
      <c r="Z96" s="38" t="n"/>
      <c r="AA96" s="38" t="n"/>
      <c r="AB96" s="38" t="n"/>
      <c r="AC96" s="38" t="n"/>
      <c r="AD96" s="38" t="n"/>
      <c r="AE96" s="38" t="n"/>
      <c r="AF96" s="38" t="n"/>
      <c r="AG96" s="38" t="n"/>
      <c r="AH96" s="38" t="n"/>
      <c r="AI96" s="38" t="n"/>
    </row>
    <row r="97">
      <c r="A97" s="39" t="inlineStr">
        <is>
          <t>Stock</t>
        </is>
      </c>
      <c r="B97" s="40" t="inlineStr">
        <is>
          <t>Impresion de Documentacion</t>
        </is>
      </c>
      <c r="C97" s="41" t="inlineStr">
        <is>
          <t>Impresion de Ordenes de Servicio</t>
        </is>
      </c>
      <c r="D97" s="42" t="inlineStr">
        <is>
          <t>Mensual</t>
        </is>
      </c>
      <c r="E97" s="42" t="n">
        <v>45</v>
      </c>
      <c r="F97" s="43" t="inlineStr">
        <is>
          <t>Fija</t>
        </is>
      </c>
      <c r="G97" s="44" t="n"/>
      <c r="H97" s="44" t="n"/>
      <c r="I97" s="44" t="n"/>
      <c r="J97" s="44" t="n"/>
      <c r="K97" s="44" t="n"/>
      <c r="L97" s="44" t="n"/>
      <c r="M97" s="44" t="n"/>
      <c r="N97" s="44" t="n"/>
      <c r="O97" s="44" t="n"/>
      <c r="P97" s="44" t="n"/>
      <c r="Q97" s="45" t="n"/>
      <c r="R97" s="44" t="n"/>
      <c r="S97" s="44" t="n"/>
      <c r="T97" s="44" t="n"/>
      <c r="U97" s="44" t="n"/>
      <c r="V97" s="44" t="n"/>
      <c r="W97" s="44" t="n"/>
      <c r="X97" s="44" t="n"/>
      <c r="Y97" s="44" t="n"/>
      <c r="Z97" s="44" t="n"/>
      <c r="AA97" s="44" t="n"/>
      <c r="AB97" s="44" t="n"/>
      <c r="AC97" s="44" t="n"/>
      <c r="AD97" s="44" t="n"/>
      <c r="AE97" s="44" t="n"/>
      <c r="AF97" s="44" t="n"/>
      <c r="AG97" s="42" t="n">
        <v>0.75</v>
      </c>
      <c r="AH97" s="42">
        <f>COUNTIF(G97:AF97,"X")*45.0/60</f>
        <v/>
      </c>
      <c r="AI97" s="42">
        <f>AH97-AG97</f>
        <v/>
      </c>
    </row>
    <row r="99">
      <c r="A99" s="47" t="inlineStr">
        <is>
          <t>Carga estimada vs. capacidad disponible por día</t>
        </is>
      </c>
    </row>
    <row r="100">
      <c r="A100" s="48" t="inlineStr">
        <is>
          <t>Minutos asignados ese día (tareas de frecuencia fija)</t>
        </is>
      </c>
      <c r="G100" s="49" t="n">
        <v>202</v>
      </c>
      <c r="H100" s="49" t="n">
        <v>637</v>
      </c>
      <c r="I100" s="49" t="n">
        <v>597</v>
      </c>
      <c r="J100" s="49" t="n">
        <v>987</v>
      </c>
      <c r="K100" s="49" t="n">
        <v>327</v>
      </c>
      <c r="L100" s="49" t="n">
        <v>197</v>
      </c>
      <c r="M100" s="49" t="n">
        <v>182</v>
      </c>
      <c r="N100" s="49" t="n">
        <v>637</v>
      </c>
      <c r="O100" s="49" t="n">
        <v>597</v>
      </c>
      <c r="P100" s="49" t="n">
        <v>987</v>
      </c>
      <c r="Q100" s="49" t="n">
        <v>522</v>
      </c>
      <c r="R100" s="49" t="n">
        <v>197</v>
      </c>
      <c r="S100" s="49" t="n">
        <v>182</v>
      </c>
      <c r="T100" s="49" t="n">
        <v>727</v>
      </c>
      <c r="U100" s="49" t="n">
        <v>597</v>
      </c>
      <c r="V100" s="49" t="n">
        <v>987</v>
      </c>
      <c r="W100" s="49" t="n">
        <v>327</v>
      </c>
      <c r="X100" s="49" t="n">
        <v>197</v>
      </c>
      <c r="Y100" s="49" t="n">
        <v>182</v>
      </c>
      <c r="Z100" s="49" t="n">
        <v>637</v>
      </c>
      <c r="AA100" s="49" t="n">
        <v>597</v>
      </c>
      <c r="AB100" s="49" t="n">
        <v>987</v>
      </c>
      <c r="AC100" s="49" t="n">
        <v>327</v>
      </c>
      <c r="AD100" s="49" t="n">
        <v>197</v>
      </c>
      <c r="AE100" s="49" t="n">
        <v>182</v>
      </c>
      <c r="AF100" s="49" t="n">
        <v>697</v>
      </c>
    </row>
    <row r="101">
      <c r="A101" s="48" t="inlineStr">
        <is>
          <t>Capacidad disponible ese día (min)</t>
        </is>
      </c>
      <c r="G101" s="49" t="n">
        <v>240</v>
      </c>
      <c r="H101" s="49" t="n">
        <v>480</v>
      </c>
      <c r="I101" s="49" t="n">
        <v>480</v>
      </c>
      <c r="J101" s="49" t="n">
        <v>480</v>
      </c>
      <c r="K101" s="49" t="n">
        <v>480</v>
      </c>
      <c r="L101" s="49" t="n">
        <v>480</v>
      </c>
      <c r="M101" s="49" t="n">
        <v>240</v>
      </c>
      <c r="N101" s="49" t="n">
        <v>480</v>
      </c>
      <c r="O101" s="49" t="n">
        <v>480</v>
      </c>
      <c r="P101" s="49" t="n">
        <v>480</v>
      </c>
      <c r="Q101" s="49" t="n">
        <v>480</v>
      </c>
      <c r="R101" s="49" t="n">
        <v>480</v>
      </c>
      <c r="S101" s="49" t="n">
        <v>240</v>
      </c>
      <c r="T101" s="49" t="n">
        <v>480</v>
      </c>
      <c r="U101" s="49" t="n">
        <v>480</v>
      </c>
      <c r="V101" s="49" t="n">
        <v>480</v>
      </c>
      <c r="W101" s="49" t="n">
        <v>480</v>
      </c>
      <c r="X101" s="49" t="n">
        <v>480</v>
      </c>
      <c r="Y101" s="49" t="n">
        <v>240</v>
      </c>
      <c r="Z101" s="49" t="n">
        <v>480</v>
      </c>
      <c r="AA101" s="49" t="n">
        <v>480</v>
      </c>
      <c r="AB101" s="49" t="n">
        <v>480</v>
      </c>
      <c r="AC101" s="49" t="n">
        <v>480</v>
      </c>
      <c r="AD101" s="49" t="n">
        <v>480</v>
      </c>
      <c r="AE101" s="49" t="n">
        <v>240</v>
      </c>
      <c r="AF101" s="49" t="n">
        <v>480</v>
      </c>
    </row>
    <row r="102">
      <c r="A102" s="50" t="inlineStr">
        <is>
          <t>Saldo (min) — negativo = sobrecarga ese día</t>
        </is>
      </c>
      <c r="G102" s="51">
        <f>G101-G100</f>
        <v/>
      </c>
      <c r="H102" s="51">
        <f>H101-H100</f>
        <v/>
      </c>
      <c r="I102" s="51">
        <f>I101-I100</f>
        <v/>
      </c>
      <c r="J102" s="51">
        <f>J101-J100</f>
        <v/>
      </c>
      <c r="K102" s="51">
        <f>K101-K100</f>
        <v/>
      </c>
      <c r="L102" s="51">
        <f>L101-L100</f>
        <v/>
      </c>
      <c r="M102" s="51">
        <f>M101-M100</f>
        <v/>
      </c>
      <c r="N102" s="51">
        <f>N101-N100</f>
        <v/>
      </c>
      <c r="O102" s="51">
        <f>O101-O100</f>
        <v/>
      </c>
      <c r="P102" s="51">
        <f>P101-P100</f>
        <v/>
      </c>
      <c r="Q102" s="51">
        <f>Q101-Q100</f>
        <v/>
      </c>
      <c r="R102" s="51">
        <f>R101-R100</f>
        <v/>
      </c>
      <c r="S102" s="51">
        <f>S101-S100</f>
        <v/>
      </c>
      <c r="T102" s="51">
        <f>T101-T100</f>
        <v/>
      </c>
      <c r="U102" s="51">
        <f>U101-U100</f>
        <v/>
      </c>
      <c r="V102" s="51">
        <f>V101-V100</f>
        <v/>
      </c>
      <c r="W102" s="51">
        <f>W101-W100</f>
        <v/>
      </c>
      <c r="X102" s="51">
        <f>X101-X100</f>
        <v/>
      </c>
      <c r="Y102" s="51">
        <f>Y101-Y100</f>
        <v/>
      </c>
      <c r="Z102" s="51">
        <f>Z101-Z100</f>
        <v/>
      </c>
      <c r="AA102" s="51">
        <f>AA101-AA100</f>
        <v/>
      </c>
      <c r="AB102" s="51">
        <f>AB101-AB100</f>
        <v/>
      </c>
      <c r="AC102" s="51">
        <f>AC101-AC100</f>
        <v/>
      </c>
      <c r="AD102" s="51">
        <f>AD101-AD100</f>
        <v/>
      </c>
      <c r="AE102" s="51">
        <f>AE101-AE100</f>
        <v/>
      </c>
      <c r="AF102" s="51">
        <f>AF101-AF100</f>
        <v/>
      </c>
    </row>
  </sheetData>
  <conditionalFormatting sqref="G102:AF102">
    <cfRule type="expression" priority="1" dxfId="0">
      <formula>G102&lt;0</formula>
    </cfRule>
    <cfRule type="expression" priority="2" dxfId="1">
      <formula>G102&gt;=0</formula>
    </cfRule>
  </conditionalFormatting>
  <conditionalFormatting sqref="G2:AF97">
    <cfRule type="expression" priority="3" dxfId="2">
      <formula>G2="X"</formula>
    </cfRule>
    <cfRule type="expression" priority="4" dxfId="3">
      <formula>G2="-"</formula>
    </cfRule>
  </conditionalFormatting>
  <dataValidations count="1">
    <dataValidation sqref="G3 G4 G5 G6 G7 G8 G9 G10 G11 G12 G14 G15 G17 G18 G19 G20 G21 G22 G24 G25 G26 G27 G28 G30 G31 G32 G33 G34 G35 G37 G38 G39 G40 G41 G42 G43 G44 G45 G46 G47 G48 G50 G51 G52 G53 G54 G55 G57 G58 G59 G60 G62 G64 G65 G66 G67 G68 G70 G71 G72 G73 G74 G75 G76 G77 G78 G79 G80 G81 G82 G84 G86 G87 G88 G89 G91 G92 G93 G94 G95 G97 H3 H4 H5 H6 H7 H8 H9 H10 H11 H12 H14 H15 H17 H18 H19 H20 H21 H22 H24 H25 H26 H27 H28 H30 H31 H32 H33 H34 H35 H37 H38 H39 H40 H41 H42 H43 H44 H45 H46 H47 H48 H50 H51 H52 H53 H54 H55 H57 H58 H59 H60 H62 H64 H65 H66 H67 H68 H70 H71 H72 H73 H74 H75 H76 H77 H78 H79 H80 H81 H82 H84 H86 H87 H88 H89 H91 H92 H93 H94 H95 H97 I3 I4 I5 I6 I7 I8 I9 I10 I11 I12 I14 I15 I17 I18 I19 I20 I21 I22 I24 I25 I26 I27 I28 I30 I31 I32 I33 I34 I35 I37 I38 I39 I40 I41 I42 I43 I44 I45 I46 I47 I48 I50 I51 I52 I53 I54 I55 I57 I58 I59 I60 I62 I64 I65 I66 I67 I68 I70 I71 I72 I73 I74 I75 I76 I77 I78 I79 I80 I81 I82 I84 I86 I87 I88 I89 I91 I92 I93 I94 I95 I97 J3 J4 J5 J6 J7 J8 J9 J10 J11 J12 J14 J15 J17 J18 J19 J20 J21 J22 J24 J25 J26 J27 J28 J30 J31 J32 J33 J34 J35 J37 J38 J39 J40 J41 J42 J43 J44 J45 J46 J47 J48 J50 J51 J52 J53 J54 J55 J57 J58 J59 J60 J62 J64 J65 J66 J67 J68 J70 J71 J72 J73 J74 J75 J76 J77 J78 J79 J80 J81 J82 J84 J86 J87 J88 J89 J91 J92 J93 J94 J95 J97 K3 K4 K5 K6 K7 K8 K9 K10 K11 K12 K14 K15 K17 K18 K19 K20 K21 K22 K24 K25 K26 K27 K28 K30 K31 K32 K33 K34 K35 K37 K38 K39 K40 K41 K42 K43 K44 K45 K46 K47 K48 K50 K51 K52 K53 K54 K55 K57 K58 K59 K60 K62 K64 K65 K66 K67 K68 K70 K71 K72 K73 K74 K75 K76 K77 K78 K79 K80 K81 K82 K84 K86 K87 K88 K89 K91 K92 K93 K94 K95 K97 L3 L4 L5 L6 L7 L8 L9 L10 L11 L12 L14 L15 L17 L18 L19 L20 L21 L22 L24 L25 L26 L27 L28 L30 L31 L32 L33 L34 L35 L37 L38 L39 L40 L41 L42 L43 L44 L45 L46 L47 L48 L50 L51 L52 L53 L54 L55 L57 L58 L59 L60 L62 L64 L65 L66 L67 L68 L70 L71 L72 L73 L74 L75 L76 L77 L78 L79 L80 L81 L82 L84 L86 L87 L88 L89 L91 L92 L93 L94 L95 L97 M3 M4 M5 M6 M7 M8 M9 M10 M11 M12 M14 M15 M17 M18 M19 M20 M21 M22 M24 M25 M26 M27 M28 M30 M31 M32 M33 M34 M35 M37 M38 M39 M40 M41 M42 M43 M44 M45 M46 M47 M48 M50 M51 M52 M53 M54 M55 M57 M58 M59 M60 M62 M64 M65 M66 M67 M68 M70 M71 M72 M73 M74 M75 M76 M77 M78 M79 M80 M81 M82 M84 M86 M87 M88 M89 M91 M92 M93 M94 M95 M97 N3 N4 N5 N6 N7 N8 N9 N10 N11 N12 N14 N15 N17 N18 N19 N20 N21 N22 N24 N25 N26 N27 N28 N30 N31 N32 N33 N34 N35 N37 N38 N39 N40 N41 N42 N43 N44 N45 N46 N47 N48 N50 N51 N52 N53 N54 N55 N57 N58 N59 N60 N62 N64 N65 N66 N67 N68 N70 N71 N72 N73 N74 N75 N76 N77 N78 N79 N80 N81 N82 N84 N86 N87 N88 N89 N91 N92 N93 N94 N95 N97 O3 O4 O5 O6 O7 O8 O9 O10 O11 O12 O14 O15 O17 O18 O19 O20 O21 O22 O24 O25 O26 O27 O28 O30 O31 O32 O33 O34 O35 O37 O38 O39 O40 O41 O42 O43 O44 O45 O46 O47 O48 O50 O51 O52 O53 O54 O55 O57 O58 O59 O60 O62 O64 O65 O66 O67 O68 O70 O71 O72 O73 O74 O75 O76 O77 O78 O79 O80 O81 O82 O84 O86 O87 O88 O89 O91 O92 O93 O94 O95 O97 P3 P4 P5 P6 P7 P8 P9 P10 P11 P12 P14 P15 P17 P18 P19 P20 P21 P22 P24 P25 P26 P27 P28 P30 P31 P32 P33 P34 P35 P37 P38 P39 P40 P41 P42 P43 P44 P45 P46 P47 P48 P50 P51 P52 P53 P54 P55 P57 P58 P59 P60 P62 P64 P65 P66 P67 P68 P70 P71 P72 P73 P74 P75 P76 P77 P78 P79 P80 P81 P82 P84 P86 P87 P88 P89 P91 P92 P93 P94 P95 P97 Q3 Q4 Q5 Q6 Q7 Q8 Q9 Q10 Q11 Q12 Q14 Q15 Q17 Q18 Q19 Q20 Q21 Q22 Q24 Q25 Q26 Q27 Q28 Q30 Q31 Q32 Q33 Q34 Q35 Q37 Q38 Q39 Q40 Q41 Q42 Q43 Q44 Q45 Q46 Q47 Q48 Q50 Q51 Q52 Q53 Q54 Q55 Q57 Q58 Q59 Q60 Q62 Q64 Q65 Q66 Q67 Q68 Q70 Q71 Q72 Q73 Q74 Q75 Q76 Q77 Q78 Q79 Q80 Q81 Q82 Q84 Q86 Q87 Q88 Q89 Q91 Q92 Q93 Q94 Q95 Q97 R3 R4 R5 R6 R7 R8 R9 R10 R11 R12 R14 R15 R17 R18 R19 R20 R21 R22 R24 R25 R26 R27 R28 R30 R31 R32 R33 R34 R35 R37 R38 R39 R40 R41 R42 R43 R44 R45 R46 R47 R48 R50 R51 R52 R53 R54 R55 R57 R58 R59 R60 R62 R64 R65 R66 R67 R68 R70 R71 R72 R73 R74 R75 R76 R77 R78 R79 R80 R81 R82 R84 R86 R87 R88 R89 R91 R92 R93 R94 R95 R97 S3 S4 S5 S6 S7 S8 S9 S10 S11 S12 S14 S15 S17 S18 S19 S20 S21 S22 S24 S25 S26 S27 S28 S30 S31 S32 S33 S34 S35 S37 S38 S39 S40 S41 S42 S43 S44 S45 S46 S47 S48 S50 S51 S52 S53 S54 S55 S57 S58 S59 S60 S62 S64 S65 S66 S67 S68 S70 S71 S72 S73 S74 S75 S76 S77 S78 S79 S80 S81 S82 S84 S86 S87 S88 S89 S91 S92 S93 S94 S95 S97 T3 T4 T5 T6 T7 T8 T9 T10 T11 T12 T14 T15 T17 T18 T19 T20 T21 T22 T24 T25 T26 T27 T28 T30 T31 T32 T33 T34 T35 T37 T38 T39 T40 T41 T42 T43 T44 T45 T46 T47 T48 T50 T51 T52 T53 T54 T55 T57 T58 T59 T60 T62 T64 T65 T66 T67 T68 T70 T71 T72 T73 T74 T75 T76 T77 T78 T79 T80 T81 T82 T84 T86 T87 T88 T89 T91 T92 T93 T94 T95 T97 U3 U4 U5 U6 U7 U8 U9 U10 U11 U12 U14 U15 U17 U18 U19 U20 U21 U22 U24 U25 U26 U27 U28 U30 U31 U32 U33 U34 U35 U37 U38 U39 U40 U41 U42 U43 U44 U45 U46 U47 U48 U50 U51 U52 U53 U54 U55 U57 U58 U59 U60 U62 U64 U65 U66 U67 U68 U70 U71 U72 U73 U74 U75 U76 U77 U78 U79 U80 U81 U82 U84 U86 U87 U88 U89 U91 U92 U93 U94 U95 U97 V3 V4 V5 V6 V7 V8 V9 V10 V11 V12 V14 V15 V17 V18 V19 V20 V21 V22 V24 V25 V26 V27 V28 V30 V31 V32 V33 V34 V35 V37 V38 V39 V40 V41 V42 V43 V44 V45 V46 V47 V48 V50 V51 V52 V53 V54 V55 V57 V58 V59 V60 V62 V64 V65 V66 V67 V68 V70 V71 V72 V73 V74 V75 V76 V77 V78 V79 V80 V81 V82 V84 V86 V87 V88 V89 V91 V92 V93 V94 V95 V97 W3 W4 W5 W6 W7 W8 W9 W10 W11 W12 W14 W15 W17 W18 W19 W20 W21 W22 W24 W25 W26 W27 W28 W30 W31 W32 W33 W34 W35 W37 W38 W39 W40 W41 W42 W43 W44 W45 W46 W47 W48 W50 W51 W52 W53 W54 W55 W57 W58 W59 W60 W62 W64 W65 W66 W67 W68 W70 W71 W72 W73 W74 W75 W76 W77 W78 W79 W80 W81 W82 W84 W86 W87 W88 W89 W91 W92 W93 W94 W95 W97 X3 X4 X5 X6 X7 X8 X9 X10 X11 X12 X14 X15 X17 X18 X19 X20 X21 X22 X24 X25 X26 X27 X28 X30 X31 X32 X33 X34 X35 X37 X38 X39 X40 X41 X42 X43 X44 X45 X46 X47 X48 X50 X51 X52 X53 X54 X55 X57 X58 X59 X60 X62 X64 X65 X66 X67 X68 X70 X71 X72 X73 X74 X75 X76 X77 X78 X79 X80 X81 X82 X84 X86 X87 X88 X89 X91 X92 X93 X94 X95 X97 Y3 Y4 Y5 Y6 Y7 Y8 Y9 Y10 Y11 Y12 Y14 Y15 Y17 Y18 Y19 Y20 Y21 Y22 Y24 Y25 Y26 Y27 Y28 Y30 Y31 Y32 Y33 Y34 Y35 Y37 Y38 Y39 Y40 Y41 Y42 Y43 Y44 Y45 Y46 Y47 Y48 Y50 Y51 Y52 Y53 Y54 Y55 Y57 Y58 Y59 Y60 Y62 Y64 Y65 Y66 Y67 Y68 Y70 Y71 Y72 Y73 Y74 Y75 Y76 Y77 Y78 Y79 Y80 Y81 Y82 Y84 Y86 Y87 Y88 Y89 Y91 Y92 Y93 Y94 Y95 Y97 Z3 Z4 Z5 Z6 Z7 Z8 Z9 Z10 Z11 Z12 Z14 Z15 Z17 Z18 Z19 Z20 Z21 Z22 Z24 Z25 Z26 Z27 Z28 Z30 Z31 Z32 Z33 Z34 Z35 Z37 Z38 Z39 Z40 Z41 Z42 Z43 Z44 Z45 Z46 Z47 Z48 Z50 Z51 Z52 Z53 Z54 Z55 Z57 Z58 Z59 Z60 Z62 Z64 Z65 Z66 Z67 Z68 Z70 Z71 Z72 Z73 Z74 Z75 Z76 Z77 Z78 Z79 Z80 Z81 Z82 Z84 Z86 Z87 Z88 Z89 Z91 Z92 Z93 Z94 Z95 Z97 AA3 AA4 AA5 AA6 AA7 AA8 AA9 AA10 AA11 AA12 AA14 AA15 AA17 AA18 AA19 AA20 AA21 AA22 AA24 AA25 AA26 AA27 AA28 AA30 AA31 AA32 AA33 AA34 AA35 AA37 AA38 AA39 AA40 AA41 AA42 AA43 AA44 AA45 AA46 AA47 AA48 AA50 AA51 AA52 AA53 AA54 AA55 AA57 AA58 AA59 AA60 AA62 AA64 AA65 AA66 AA67 AA68 AA70 AA71 AA72 AA73 AA74 AA75 AA76 AA77 AA78 AA79 AA80 AA81 AA82 AA84 AA86 AA87 AA88 AA89 AA91 AA92 AA93 AA94 AA95 AA97 AB3 AB4 AB5 AB6 AB7 AB8 AB9 AB10 AB11 AB12 AB14 AB15 AB17 AB18 AB19 AB20 AB21 AB22 AB24 AB25 AB26 AB27 AB28 AB30 AB31 AB32 AB33 AB34 AB35 AB37 AB38 AB39 AB40 AB41 AB42 AB43 AB44 AB45 AB46 AB47 AB48 AB50 AB51 AB52 AB53 AB54 AB55 AB57 AB58 AB59 AB60 AB62 AB64 AB65 AB66 AB67 AB68 AB70 AB71 AB72 AB73 AB74 AB75 AB76 AB77 AB78 AB79 AB80 AB81 AB82 AB84 AB86 AB87 AB88 AB89 AB91 AB92 AB93 AB94 AB95 AB97 AC3 AC4 AC5 AC6 AC7 AC8 AC9 AC10 AC11 AC12 AC14 AC15 AC17 AC18 AC19 AC20 AC21 AC22 AC24 AC25 AC26 AC27 AC28 AC30 AC31 AC32 AC33 AC34 AC35 AC37 AC38 AC39 AC40 AC41 AC42 AC43 AC44 AC45 AC46 AC47 AC48 AC50 AC51 AC52 AC53 AC54 AC55 AC57 AC58 AC59 AC60 AC62 AC64 AC65 AC66 AC67 AC68 AC70 AC71 AC72 AC73 AC74 AC75 AC76 AC77 AC78 AC79 AC80 AC81 AC82 AC84 AC86 AC87 AC88 AC89 AC91 AC92 AC93 AC94 AC95 AC97 AD3 AD4 AD5 AD6 AD7 AD8 AD9 AD10 AD11 AD12 AD14 AD15 AD17 AD18 AD19 AD20 AD21 AD22 AD24 AD25 AD26 AD27 AD28 AD30 AD31 AD32 AD33 AD34 AD35 AD37 AD38 AD39 AD40 AD41 AD42 AD43 AD44 AD45 AD46 AD47 AD48 AD50 AD51 AD52 AD53 AD54 AD55 AD57 AD58 AD59 AD60 AD62 AD64 AD65 AD66 AD67 AD68 AD70 AD71 AD72 AD73 AD74 AD75 AD76 AD77 AD78 AD79 AD80 AD81 AD82 AD84 AD86 AD87 AD88 AD89 AD91 AD92 AD93 AD94 AD95 AD97 AE3 AE4 AE5 AE6 AE7 AE8 AE9 AE10 AE11 AE12 AE14 AE15 AE17 AE18 AE19 AE20 AE21 AE22 AE24 AE25 AE26 AE27 AE28 AE30 AE31 AE32 AE33 AE34 AE35 AE37 AE38 AE39 AE40 AE41 AE42 AE43 AE44 AE45 AE46 AE47 AE48 AE50 AE51 AE52 AE53 AE54 AE55 AE57 AE58 AE59 AE60 AE62 AE64 AE65 AE66 AE67 AE68 AE70 AE71 AE72 AE73 AE74 AE75 AE76 AE77 AE78 AE79 AE80 AE81 AE82 AE84 AE86 AE87 AE88 AE89 AE91 AE92 AE93 AE94 AE95 AE97 AF3 AF4 AF5 AF6 AF7 AF8 AF9 AF10 AF11 AF12 AF14 AF15 AF17 AF18 AF19 AF20 AF21 AF22 AF24 AF25 AF26 AF27 AF28 AF30 AF31 AF32 AF33 AF34 AF35 AF37 AF38 AF39 AF40 AF41 AF42 AF43 AF44 AF45 AF46 AF47 AF48 AF50 AF51 AF52 AF53 AF54 AF55 AF57 AF58 AF59 AF60 AF62 AF64 AF65 AF66 AF67 AF68 AF70 AF71 AF72 AF73 AF74 AF75 AF76 AF77 AF78 AF79 AF80 AF81 AF82 AF84 AF86 AF87 AF88 AF89 AF91 AF92 AF93 AF94 AF95 AF97" showDropDown="0" showInputMessage="0" showErrorMessage="0" allowBlank="1" type="list">
      <formula1>"X,-"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38"/>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40" customWidth="1" min="3" max="3"/>
    <col width="30" customWidth="1" min="4" max="4"/>
    <col width="20" customWidth="1" min="5" max="5"/>
    <col width="16" customWidth="1" min="6" max="6"/>
    <col width="14" customWidth="1" min="7" max="7"/>
    <col width="12" customWidth="1" min="8" max="8"/>
    <col width="12" customWidth="1" min="9" max="9"/>
    <col width="14" customWidth="1" min="10" max="10"/>
    <col width="28" customWidth="1" min="11" max="11"/>
    <col width="10" customWidth="1" min="12" max="12"/>
    <col width="45" customWidth="1" min="13" max="13"/>
  </cols>
  <sheetData>
    <row r="1" ht="34" customHeight="1">
      <c r="A1" s="1" t="inlineStr">
        <is>
          <t>Proceso</t>
        </is>
      </c>
      <c r="B1" s="1" t="inlineStr">
        <is>
          <t>Procedimiento</t>
        </is>
      </c>
      <c r="C1" s="1" t="inlineStr">
        <is>
          <t>Tarea</t>
        </is>
      </c>
      <c r="D1" s="1" t="inlineStr">
        <is>
          <t>Objetivo (por que se hace)</t>
        </is>
      </c>
      <c r="E1" s="1" t="inlineStr">
        <is>
          <t>Estado</t>
        </is>
      </c>
      <c r="F1" s="1" t="inlineStr">
        <is>
          <t>Responsable actual</t>
        </is>
      </c>
      <c r="G1" s="1" t="inlineStr">
        <is>
          <t>Frecuencia</t>
        </is>
      </c>
      <c r="H1" s="1" t="inlineStr">
        <is>
          <t>Tiempo estimado (min)</t>
        </is>
      </c>
      <c r="I1" s="1" t="inlineStr">
        <is>
          <t>Volumen mensual</t>
        </is>
      </c>
      <c r="J1" s="1" t="inlineStr">
        <is>
          <t>Horas-persona/mes</t>
        </is>
      </c>
      <c r="K1" s="1" t="inlineStr">
        <is>
          <t>Motivo si falta</t>
        </is>
      </c>
      <c r="L1" s="1" t="inlineStr">
        <is>
          <t>Prioridad</t>
        </is>
      </c>
      <c r="M1" s="1" t="inlineStr">
        <is>
          <t>Observaciones</t>
        </is>
      </c>
    </row>
    <row r="2">
      <c r="A2" s="2" t="inlineStr">
        <is>
          <t>TOP10</t>
        </is>
      </c>
      <c r="B2" s="2" t="inlineStr">
        <is>
          <t>Elaboracion y envio del informe semanal TOP10</t>
        </is>
      </c>
      <c r="C2" s="3" t="inlineStr">
        <is>
          <t>Ingresar a monitoreo.com y generar el Resumen Semanal de Eventos</t>
        </is>
      </c>
      <c r="D2" s="3" t="inlineStr">
        <is>
          <t>A completar</t>
        </is>
      </c>
      <c r="E2" s="4" t="inlineStr">
        <is>
          <t>Se hace</t>
        </is>
      </c>
      <c r="F2" s="2" t="inlineStr">
        <is>
          <t>RM (Ruben Moreyra)</t>
        </is>
      </c>
      <c r="G2" s="2" t="inlineStr">
        <is>
          <t>Semanal</t>
        </is>
      </c>
      <c r="H2" s="2" t="inlineStr">
        <is>
          <t>A confirmar</t>
        </is>
      </c>
      <c r="I2" s="2" t="inlineStr">
        <is>
          <t>4</t>
        </is>
      </c>
      <c r="J2" s="2" t="inlineStr">
        <is>
          <t>A confirmar</t>
        </is>
      </c>
      <c r="K2" s="3" t="inlineStr"/>
      <c r="L2" s="2" t="inlineStr"/>
      <c r="M2" s="3" t="inlineStr">
        <is>
          <t>Pasos 1-2 del instructivo Proceso-TOP10-06UB-AUE260420</t>
        </is>
      </c>
    </row>
    <row r="3">
      <c r="A3" s="2" t="inlineStr">
        <is>
          <t>TOP10</t>
        </is>
      </c>
      <c r="B3" s="2" t="inlineStr">
        <is>
          <t>Elaboracion y envio del informe semanal TOP10</t>
        </is>
      </c>
      <c r="C3" s="3" t="inlineStr">
        <is>
          <t>Filtrar por Total Operados y extraer el TOP10 de clientes</t>
        </is>
      </c>
      <c r="D3" s="3" t="inlineStr">
        <is>
          <t>A completar</t>
        </is>
      </c>
      <c r="E3" s="4" t="inlineStr">
        <is>
          <t>Se hace</t>
        </is>
      </c>
      <c r="F3" s="2" t="inlineStr">
        <is>
          <t>RM (Ruben Moreyra)</t>
        </is>
      </c>
      <c r="G3" s="2" t="inlineStr">
        <is>
          <t>Semanal</t>
        </is>
      </c>
      <c r="H3" s="2" t="inlineStr">
        <is>
          <t>A confirmar</t>
        </is>
      </c>
      <c r="I3" s="2" t="inlineStr">
        <is>
          <t>4</t>
        </is>
      </c>
      <c r="J3" s="2" t="inlineStr">
        <is>
          <t>A confirmar</t>
        </is>
      </c>
      <c r="K3" s="3" t="inlineStr"/>
      <c r="L3" s="2" t="inlineStr"/>
      <c r="M3" s="3" t="inlineStr">
        <is>
          <t>Paso 3</t>
        </is>
      </c>
    </row>
    <row r="4">
      <c r="A4" s="2" t="inlineStr">
        <is>
          <t>TOP10</t>
        </is>
      </c>
      <c r="B4" s="2" t="inlineStr">
        <is>
          <t>Elaboracion y envio del informe semanal TOP10</t>
        </is>
      </c>
      <c r="C4" s="3" t="inlineStr">
        <is>
          <t>Actualizar planilla Evento Semana por Semana (nueva hoja+formato)</t>
        </is>
      </c>
      <c r="D4" s="3" t="inlineStr">
        <is>
          <t>A completar</t>
        </is>
      </c>
      <c r="E4" s="4" t="inlineStr">
        <is>
          <t>Se hace</t>
        </is>
      </c>
      <c r="F4" s="2" t="inlineStr">
        <is>
          <t>RM (Ruben Moreyra)</t>
        </is>
      </c>
      <c r="G4" s="2" t="inlineStr">
        <is>
          <t>Semanal</t>
        </is>
      </c>
      <c r="H4" s="2" t="inlineStr">
        <is>
          <t>A confirmar</t>
        </is>
      </c>
      <c r="I4" s="2" t="inlineStr">
        <is>
          <t>4</t>
        </is>
      </c>
      <c r="J4" s="2" t="inlineStr">
        <is>
          <t>A confirmar</t>
        </is>
      </c>
      <c r="K4" s="3" t="inlineStr"/>
      <c r="L4" s="2" t="inlineStr"/>
      <c r="M4" s="3" t="inlineStr">
        <is>
          <t>Pasos 4-5</t>
        </is>
      </c>
    </row>
    <row r="5">
      <c r="A5" s="2" t="inlineStr">
        <is>
          <t>TOP10</t>
        </is>
      </c>
      <c r="B5" s="2" t="inlineStr">
        <is>
          <t>Elaboracion y envio del informe semanal TOP10</t>
        </is>
      </c>
      <c r="C5" s="3" t="inlineStr">
        <is>
          <t>Completar fila de la semana en Eventos por Semana (indicadores)</t>
        </is>
      </c>
      <c r="D5" s="3" t="inlineStr">
        <is>
          <t>A completar</t>
        </is>
      </c>
      <c r="E5" s="4" t="inlineStr">
        <is>
          <t>Se hace</t>
        </is>
      </c>
      <c r="F5" s="2" t="inlineStr">
        <is>
          <t>RM (Ruben Moreyra)</t>
        </is>
      </c>
      <c r="G5" s="2" t="inlineStr">
        <is>
          <t>Semanal</t>
        </is>
      </c>
      <c r="H5" s="2" t="inlineStr">
        <is>
          <t>A confirmar</t>
        </is>
      </c>
      <c r="I5" s="2" t="inlineStr">
        <is>
          <t>4</t>
        </is>
      </c>
      <c r="J5" s="2" t="inlineStr">
        <is>
          <t>A confirmar</t>
        </is>
      </c>
      <c r="K5" s="3" t="inlineStr"/>
      <c r="L5" s="2" t="inlineStr"/>
      <c r="M5" s="3" t="inlineStr">
        <is>
          <t>Paso 6</t>
        </is>
      </c>
    </row>
    <row r="6">
      <c r="A6" s="2" t="inlineStr">
        <is>
          <t>TOP10</t>
        </is>
      </c>
      <c r="B6" s="2" t="inlineStr">
        <is>
          <t>Elaboracion y envio del informe semanal TOP10</t>
        </is>
      </c>
      <c r="C6" s="3" t="inlineStr">
        <is>
          <t>Completar hoja Analisis TOP10</t>
        </is>
      </c>
      <c r="D6" s="3" t="inlineStr">
        <is>
          <t>A completar</t>
        </is>
      </c>
      <c r="E6" s="4" t="inlineStr">
        <is>
          <t>Se hace</t>
        </is>
      </c>
      <c r="F6" s="2" t="inlineStr">
        <is>
          <t>RM (Ruben Moreyra)</t>
        </is>
      </c>
      <c r="G6" s="2" t="inlineStr">
        <is>
          <t>Semanal</t>
        </is>
      </c>
      <c r="H6" s="2" t="inlineStr">
        <is>
          <t>A confirmar</t>
        </is>
      </c>
      <c r="I6" s="2" t="inlineStr">
        <is>
          <t>4</t>
        </is>
      </c>
      <c r="J6" s="2" t="inlineStr">
        <is>
          <t>A confirmar</t>
        </is>
      </c>
      <c r="K6" s="3" t="inlineStr"/>
      <c r="L6" s="2" t="inlineStr"/>
      <c r="M6" s="3" t="inlineStr">
        <is>
          <t>Paso 7</t>
        </is>
      </c>
    </row>
    <row r="7">
      <c r="A7" s="2" t="inlineStr">
        <is>
          <t>TOP10</t>
        </is>
      </c>
      <c r="B7" s="2" t="inlineStr">
        <is>
          <t>Elaboracion y envio del informe semanal TOP10</t>
        </is>
      </c>
      <c r="C7" s="3" t="inlineStr">
        <is>
          <t>Redactar correo del informe TOP10 con cuadros y enlaces</t>
        </is>
      </c>
      <c r="D7" s="3" t="inlineStr">
        <is>
          <t>A completar</t>
        </is>
      </c>
      <c r="E7" s="4" t="inlineStr">
        <is>
          <t>Se hace</t>
        </is>
      </c>
      <c r="F7" s="2" t="inlineStr">
        <is>
          <t>RM (Ruben Moreyra)</t>
        </is>
      </c>
      <c r="G7" s="2" t="inlineStr">
        <is>
          <t>Semanal</t>
        </is>
      </c>
      <c r="H7" s="2" t="inlineStr">
        <is>
          <t>A confirmar</t>
        </is>
      </c>
      <c r="I7" s="2" t="inlineStr">
        <is>
          <t>4</t>
        </is>
      </c>
      <c r="J7" s="2" t="inlineStr">
        <is>
          <t>A confirmar</t>
        </is>
      </c>
      <c r="K7" s="3" t="inlineStr"/>
      <c r="L7" s="2" t="inlineStr"/>
      <c r="M7" s="3" t="inlineStr">
        <is>
          <t>Pasos 8-10</t>
        </is>
      </c>
    </row>
    <row r="8">
      <c r="A8" s="2" t="inlineStr">
        <is>
          <t>TOP10</t>
        </is>
      </c>
      <c r="B8" s="2" t="inlineStr">
        <is>
          <t>Elaboracion y envio del informe semanal TOP10</t>
        </is>
      </c>
      <c r="C8" s="3" t="inlineStr">
        <is>
          <t>Enviar correo del informe TOP10 a DIR/TEC/AYL</t>
        </is>
      </c>
      <c r="D8" s="3" t="inlineStr">
        <is>
          <t>A completar</t>
        </is>
      </c>
      <c r="E8" s="4" t="inlineStr">
        <is>
          <t>Se hace</t>
        </is>
      </c>
      <c r="F8" s="2" t="inlineStr">
        <is>
          <t>RM (Ruben Moreyra)</t>
        </is>
      </c>
      <c r="G8" s="2" t="inlineStr">
        <is>
          <t>Semanal</t>
        </is>
      </c>
      <c r="H8" s="2" t="inlineStr">
        <is>
          <t>A confirmar</t>
        </is>
      </c>
      <c r="I8" s="2" t="inlineStr">
        <is>
          <t>4</t>
        </is>
      </c>
      <c r="J8" s="2" t="inlineStr">
        <is>
          <t>A confirmar</t>
        </is>
      </c>
      <c r="K8" s="3" t="inlineStr"/>
      <c r="L8" s="2" t="inlineStr"/>
      <c r="M8" s="3" t="inlineStr">
        <is>
          <t>Paso 11 - fin fase 1</t>
        </is>
      </c>
    </row>
    <row r="9">
      <c r="A9" s="2" t="inlineStr">
        <is>
          <t>TOP10</t>
        </is>
      </c>
      <c r="B9" s="2" t="inlineStr">
        <is>
          <t>Elaboracion y envio del informe semanal TOP10</t>
        </is>
      </c>
      <c r="C9" s="3" t="inlineStr">
        <is>
          <t>Indagar y documentar la gestion realizada con cada cliente del TOP10</t>
        </is>
      </c>
      <c r="D9" s="3" t="inlineStr">
        <is>
          <t>A completar</t>
        </is>
      </c>
      <c r="E9" s="4" t="inlineStr">
        <is>
          <t>Se hace</t>
        </is>
      </c>
      <c r="F9" s="2" t="inlineStr">
        <is>
          <t>RM (Ruben Moreyra)</t>
        </is>
      </c>
      <c r="G9" s="2" t="inlineStr">
        <is>
          <t>Semanal</t>
        </is>
      </c>
      <c r="H9" s="2" t="inlineStr">
        <is>
          <t>A confirmar</t>
        </is>
      </c>
      <c r="I9" s="2" t="inlineStr">
        <is>
          <t>4</t>
        </is>
      </c>
      <c r="J9" s="2" t="inlineStr">
        <is>
          <t>A confirmar</t>
        </is>
      </c>
      <c r="K9" s="3" t="inlineStr"/>
      <c r="L9" s="2" t="inlineStr">
        <is>
          <t>Alta</t>
        </is>
      </c>
      <c r="M9" s="3" t="inlineStr">
        <is>
          <t>Paso 12 - Observaciones, requiere contactar a cada cliente/tecnico</t>
        </is>
      </c>
    </row>
    <row r="10">
      <c r="A10" s="2" t="inlineStr">
        <is>
          <t>TOP10</t>
        </is>
      </c>
      <c r="B10" s="2" t="inlineStr">
        <is>
          <t>Elaboracion y envio del informe semanal TOP10</t>
        </is>
      </c>
      <c r="C10" s="3" t="inlineStr">
        <is>
          <t>Actualizar seguimiento del TOP10 de la semana anterior (Control Semana por Semana)</t>
        </is>
      </c>
      <c r="D10" s="3" t="inlineStr">
        <is>
          <t>A completar</t>
        </is>
      </c>
      <c r="E10" s="4" t="inlineStr">
        <is>
          <t>Se hace</t>
        </is>
      </c>
      <c r="F10" s="2" t="inlineStr">
        <is>
          <t>RM (Ruben Moreyra)</t>
        </is>
      </c>
      <c r="G10" s="2" t="inlineStr">
        <is>
          <t>Semanal</t>
        </is>
      </c>
      <c r="H10" s="2" t="inlineStr">
        <is>
          <t>A confirmar</t>
        </is>
      </c>
      <c r="I10" s="2" t="inlineStr">
        <is>
          <t>4</t>
        </is>
      </c>
      <c r="J10" s="2" t="inlineStr">
        <is>
          <t>A confirmar</t>
        </is>
      </c>
      <c r="K10" s="3" t="inlineStr"/>
      <c r="L10" s="2" t="inlineStr"/>
      <c r="M10" s="3" t="inlineStr">
        <is>
          <t>Paso 13</t>
        </is>
      </c>
    </row>
    <row r="11">
      <c r="A11" s="2" t="inlineStr">
        <is>
          <t>TOP10</t>
        </is>
      </c>
      <c r="B11" s="2" t="inlineStr">
        <is>
          <t>Elaboracion y envio del informe semanal TOP10</t>
        </is>
      </c>
      <c r="C11" s="3" t="inlineStr">
        <is>
          <t>Enviar respuesta final del informe con observaciones</t>
        </is>
      </c>
      <c r="D11" s="3" t="inlineStr">
        <is>
          <t>A completar</t>
        </is>
      </c>
      <c r="E11" s="4" t="inlineStr">
        <is>
          <t>Se hace</t>
        </is>
      </c>
      <c r="F11" s="2" t="inlineStr">
        <is>
          <t>RM (Ruben Moreyra)</t>
        </is>
      </c>
      <c r="G11" s="2" t="inlineStr">
        <is>
          <t>Semanal</t>
        </is>
      </c>
      <c r="H11" s="2" t="inlineStr">
        <is>
          <t>A confirmar</t>
        </is>
      </c>
      <c r="I11" s="2" t="inlineStr">
        <is>
          <t>4</t>
        </is>
      </c>
      <c r="J11" s="2" t="inlineStr">
        <is>
          <t>A confirmar</t>
        </is>
      </c>
      <c r="K11" s="3" t="inlineStr"/>
      <c r="L11" s="2" t="inlineStr"/>
      <c r="M11" s="3" t="inlineStr">
        <is>
          <t>Pasos 14 y 16</t>
        </is>
      </c>
    </row>
    <row r="12">
      <c r="A12" s="2" t="inlineStr">
        <is>
          <t>Revision de Eventos Diarios / Red</t>
        </is>
      </c>
      <c r="B12" s="2" t="inlineStr">
        <is>
          <t>Pendiente de desglose</t>
        </is>
      </c>
      <c r="C12" s="3" t="inlineStr">
        <is>
          <t>Pendiente de desglose (a detallar con RM)</t>
        </is>
      </c>
      <c r="D12" s="3" t="inlineStr">
        <is>
          <t>A completar</t>
        </is>
      </c>
      <c r="E12" s="4" t="inlineStr">
        <is>
          <t>Se hace</t>
        </is>
      </c>
      <c r="F12" s="2" t="inlineStr">
        <is>
          <t>RM (Ruben Moreyra)</t>
        </is>
      </c>
      <c r="G12" s="2" t="inlineStr">
        <is>
          <t>Semanal (viernes)</t>
        </is>
      </c>
      <c r="H12" s="2" t="inlineStr">
        <is>
          <t>A confirmar</t>
        </is>
      </c>
      <c r="I12" s="2" t="inlineStr">
        <is>
          <t>A confirmar</t>
        </is>
      </c>
      <c r="J12" s="2" t="inlineStr">
        <is>
          <t>A confirmar</t>
        </is>
      </c>
      <c r="K12" s="3" t="inlineStr"/>
      <c r="L12" s="2" t="inlineStr"/>
      <c r="M12" s="3" t="inlineStr">
        <is>
          <t>Dia asignado: viernes, comparte el dia con Revision de eventos diarios (ver fila siguiente) - son dos procesos distintos en un solo dia</t>
        </is>
      </c>
    </row>
    <row r="13">
      <c r="A13" s="2" t="inlineStr">
        <is>
          <t>Revision de Eventos Diarios / Red</t>
        </is>
      </c>
      <c r="B13" s="2" t="inlineStr">
        <is>
          <t>Pendiente de desglose</t>
        </is>
      </c>
      <c r="C13" s="3" t="inlineStr">
        <is>
          <t>Pendiente de desglose (a detallar con RM)</t>
        </is>
      </c>
      <c r="D13" s="3" t="inlineStr">
        <is>
          <t>A completar</t>
        </is>
      </c>
      <c r="E13" s="4" t="inlineStr">
        <is>
          <t>Se hace</t>
        </is>
      </c>
      <c r="F13" s="2" t="inlineStr">
        <is>
          <t>RM (Ruben Moreyra)</t>
        </is>
      </c>
      <c r="G13" s="2" t="inlineStr">
        <is>
          <t>Diaria</t>
        </is>
      </c>
      <c r="H13" s="2" t="inlineStr">
        <is>
          <t>A confirmar</t>
        </is>
      </c>
      <c r="I13" s="2" t="inlineStr">
        <is>
          <t>A confirmar</t>
        </is>
      </c>
      <c r="J13" s="2" t="inlineStr">
        <is>
          <t>A confirmar</t>
        </is>
      </c>
      <c r="K13" s="3" t="inlineStr"/>
      <c r="L13" s="2" t="inlineStr"/>
      <c r="M13" s="3" t="inlineStr">
        <is>
          <t>Se ejecuta todos los dias pero se prioriza/cierra los viernes junto con Red - revisar si es realmente semanal o diaria</t>
        </is>
      </c>
    </row>
    <row r="14">
      <c r="A14" s="2" t="inlineStr">
        <is>
          <t>Administracion General (AB)</t>
        </is>
      </c>
      <c r="B14" s="2" t="inlineStr">
        <is>
          <t>N/A</t>
        </is>
      </c>
      <c r="C14" s="3" t="inlineStr">
        <is>
          <t>Control e impresion de R.E.E.</t>
        </is>
      </c>
      <c r="D14" s="3" t="inlineStr">
        <is>
          <t>A completar</t>
        </is>
      </c>
      <c r="E14" s="4" t="inlineStr">
        <is>
          <t>Se hace</t>
        </is>
      </c>
      <c r="F14" s="2" t="inlineStr">
        <is>
          <t>AB</t>
        </is>
      </c>
      <c r="G14" s="2" t="inlineStr">
        <is>
          <t>Mensual</t>
        </is>
      </c>
      <c r="H14" s="2" t="inlineStr">
        <is>
          <t>60</t>
        </is>
      </c>
      <c r="I14" s="2" t="inlineStr">
        <is>
          <t>1</t>
        </is>
      </c>
      <c r="J14" s="2" t="inlineStr">
        <is>
          <t>No calcular aun</t>
        </is>
      </c>
      <c r="K14" s="3" t="inlineStr"/>
      <c r="L14" s="2" t="inlineStr"/>
      <c r="M14" s="3" t="inlineStr">
        <is>
          <t>Dia/momento: Ultimo miercoles. | Tiempo de origen (planilla Procesos Diarios) sin validar - no usar para calcular horas hasta confirmar con AB/RM</t>
        </is>
      </c>
    </row>
    <row r="15">
      <c r="A15" s="2" t="inlineStr">
        <is>
          <t>Administracion General (AB)</t>
        </is>
      </c>
      <c r="B15" s="2" t="inlineStr">
        <is>
          <t>N/A</t>
        </is>
      </c>
      <c r="C15" s="3" t="inlineStr">
        <is>
          <t>Control y solicitud de CSID a CM</t>
        </is>
      </c>
      <c r="D15" s="3" t="inlineStr">
        <is>
          <t>A completar</t>
        </is>
      </c>
      <c r="E15" s="4" t="inlineStr">
        <is>
          <t>Se hace</t>
        </is>
      </c>
      <c r="F15" s="2" t="inlineStr">
        <is>
          <t>AB</t>
        </is>
      </c>
      <c r="G15" s="2" t="inlineStr">
        <is>
          <t>Quincenal</t>
        </is>
      </c>
      <c r="H15" s="2" t="inlineStr">
        <is>
          <t>15</t>
        </is>
      </c>
      <c r="I15" s="2" t="inlineStr">
        <is>
          <t>2</t>
        </is>
      </c>
      <c r="J15" s="2" t="inlineStr">
        <is>
          <t>No calcular aun</t>
        </is>
      </c>
      <c r="K15" s="3" t="inlineStr"/>
      <c r="L15" s="2" t="inlineStr"/>
      <c r="M15" s="3" t="inlineStr">
        <is>
          <t>Dia/momento: 2do y 4to jueves. | Tiempo de origen (planilla Procesos Diarios) sin validar - no usar para calcular horas hasta confirmar con AB/RM</t>
        </is>
      </c>
    </row>
    <row r="16">
      <c r="A16" s="2" t="inlineStr">
        <is>
          <t>Rutina Administrativa Diaria (RM)</t>
        </is>
      </c>
      <c r="B16" s="2" t="inlineStr">
        <is>
          <t>N/A</t>
        </is>
      </c>
      <c r="C16" s="3" t="inlineStr">
        <is>
          <t>Aviso y coordinacion con ST</t>
        </is>
      </c>
      <c r="D16" s="3" t="inlineStr">
        <is>
          <t>A completar</t>
        </is>
      </c>
      <c r="E16" s="4" t="inlineStr">
        <is>
          <t>Se hace</t>
        </is>
      </c>
      <c r="F16" s="2" t="inlineStr">
        <is>
          <t>RM</t>
        </is>
      </c>
      <c r="G16" s="2" t="inlineStr">
        <is>
          <t>Diario</t>
        </is>
      </c>
      <c r="H16" s="2" t="inlineStr">
        <is>
          <t>45</t>
        </is>
      </c>
      <c r="I16" s="2" t="inlineStr">
        <is>
          <t>22</t>
        </is>
      </c>
      <c r="J16" s="2" t="inlineStr">
        <is>
          <t>No calcular aun</t>
        </is>
      </c>
      <c r="K16" s="3" t="inlineStr"/>
      <c r="L16" s="2" t="inlineStr"/>
      <c r="M16" s="3" t="inlineStr">
        <is>
          <t>Dia/momento: Primer dia. | Tiempo de origen (planilla Procesos Diarios) sin validar - no usar para calcular horas hasta confirmar con AB/RM</t>
        </is>
      </c>
    </row>
    <row r="17">
      <c r="A17" s="2" t="inlineStr">
        <is>
          <t>Rutina Administrativa Diaria (RM)</t>
        </is>
      </c>
      <c r="B17" s="2" t="inlineStr">
        <is>
          <t>N/A</t>
        </is>
      </c>
      <c r="C17" s="3" t="inlineStr">
        <is>
          <t>Subir informe de tareas diarias</t>
        </is>
      </c>
      <c r="D17" s="3" t="inlineStr">
        <is>
          <t>A completar</t>
        </is>
      </c>
      <c r="E17" s="4" t="inlineStr">
        <is>
          <t>Se hace</t>
        </is>
      </c>
      <c r="F17" s="2" t="inlineStr">
        <is>
          <t>RM</t>
        </is>
      </c>
      <c r="G17" s="2" t="inlineStr">
        <is>
          <t>Diario</t>
        </is>
      </c>
      <c r="H17" s="2" t="inlineStr">
        <is>
          <t>5</t>
        </is>
      </c>
      <c r="I17" s="2" t="inlineStr">
        <is>
          <t>22</t>
        </is>
      </c>
      <c r="J17" s="2" t="inlineStr">
        <is>
          <t>No calcular aun</t>
        </is>
      </c>
      <c r="K17" s="3" t="inlineStr"/>
      <c r="L17" s="2" t="inlineStr"/>
      <c r="M17" s="3" t="inlineStr">
        <is>
          <t>Dia/momento: Primer dia. | Tiempo de origen (planilla Procesos Diarios) sin validar - no usar para calcular horas hasta confirmar con AB/RM</t>
        </is>
      </c>
    </row>
    <row r="18">
      <c r="A18" s="2" t="inlineStr">
        <is>
          <t>Rutina Administrativa Diaria (RM)</t>
        </is>
      </c>
      <c r="B18" s="2" t="inlineStr">
        <is>
          <t>N/A</t>
        </is>
      </c>
      <c r="C18" s="3" t="inlineStr">
        <is>
          <t>Chequeo de ST realizados en el dia</t>
        </is>
      </c>
      <c r="D18" s="3" t="inlineStr">
        <is>
          <t>A completar</t>
        </is>
      </c>
      <c r="E18" s="4" t="inlineStr">
        <is>
          <t>Se hace</t>
        </is>
      </c>
      <c r="F18" s="2" t="inlineStr">
        <is>
          <t>RM</t>
        </is>
      </c>
      <c r="G18" s="2" t="inlineStr">
        <is>
          <t>Diario</t>
        </is>
      </c>
      <c r="H18" s="2" t="inlineStr">
        <is>
          <t>15</t>
        </is>
      </c>
      <c r="I18" s="2" t="inlineStr">
        <is>
          <t>22</t>
        </is>
      </c>
      <c r="J18" s="2" t="inlineStr">
        <is>
          <t>No calcular aun</t>
        </is>
      </c>
      <c r="K18" s="3" t="inlineStr"/>
      <c r="L18" s="2" t="inlineStr"/>
      <c r="M18" s="3" t="inlineStr">
        <is>
          <t>Dia/momento: Primer dia. | Tiempo de origen (planilla Procesos Diarios) sin validar - no usar para calcular horas hasta confirmar con AB/RM</t>
        </is>
      </c>
    </row>
    <row r="19">
      <c r="A19" s="2" t="inlineStr">
        <is>
          <t>Rutina Administrativa Diaria (RM)</t>
        </is>
      </c>
      <c r="B19" s="2" t="inlineStr">
        <is>
          <t>N/A</t>
        </is>
      </c>
      <c r="C19" s="3" t="inlineStr">
        <is>
          <t>Contestar mensajes de clientes/mail (primera hora)</t>
        </is>
      </c>
      <c r="D19" s="3" t="inlineStr">
        <is>
          <t>A completar</t>
        </is>
      </c>
      <c r="E19" s="4" t="inlineStr">
        <is>
          <t>Se hace</t>
        </is>
      </c>
      <c r="F19" s="2" t="inlineStr">
        <is>
          <t>RM</t>
        </is>
      </c>
      <c r="G19" s="2" t="inlineStr">
        <is>
          <t>Diario</t>
        </is>
      </c>
      <c r="H19" s="2" t="inlineStr">
        <is>
          <t>60</t>
        </is>
      </c>
      <c r="I19" s="2" t="inlineStr">
        <is>
          <t>22</t>
        </is>
      </c>
      <c r="J19" s="2" t="inlineStr">
        <is>
          <t>No calcular aun</t>
        </is>
      </c>
      <c r="K19" s="3" t="inlineStr"/>
      <c r="L19" s="2" t="inlineStr"/>
      <c r="M19" s="3" t="inlineStr">
        <is>
          <t>Dia/momento: Primer dia. | Tiempo de origen (planilla Procesos Diarios) sin validar - no usar para calcular horas hasta confirmar con AB/RM</t>
        </is>
      </c>
    </row>
    <row r="20">
      <c r="A20" s="2" t="inlineStr">
        <is>
          <t>Rutina Administrativa Diaria (RM)</t>
        </is>
      </c>
      <c r="B20" s="2" t="inlineStr">
        <is>
          <t>N/A</t>
        </is>
      </c>
      <c r="C20" s="3" t="inlineStr">
        <is>
          <t>Revisar planilla de Procesos (primera hora)</t>
        </is>
      </c>
      <c r="D20" s="3" t="inlineStr">
        <is>
          <t>A completar</t>
        </is>
      </c>
      <c r="E20" s="4" t="inlineStr">
        <is>
          <t>Se hace</t>
        </is>
      </c>
      <c r="F20" s="2" t="inlineStr">
        <is>
          <t>RM</t>
        </is>
      </c>
      <c r="G20" s="2" t="inlineStr">
        <is>
          <t>Diario</t>
        </is>
      </c>
      <c r="H20" s="2" t="inlineStr">
        <is>
          <t>1</t>
        </is>
      </c>
      <c r="I20" s="2" t="inlineStr">
        <is>
          <t>22</t>
        </is>
      </c>
      <c r="J20" s="2" t="inlineStr">
        <is>
          <t>No calcular aun</t>
        </is>
      </c>
      <c r="K20" s="3" t="inlineStr"/>
      <c r="L20" s="2" t="inlineStr"/>
      <c r="M20" s="3" t="inlineStr">
        <is>
          <t>Dia/momento: Primer dia. | Tiempo de origen (planilla Procesos Diarios) sin validar - no usar para calcular horas hasta confirmar con AB/RM</t>
        </is>
      </c>
    </row>
    <row r="21">
      <c r="A21" s="2" t="inlineStr">
        <is>
          <t>Rutina Administrativa Diaria (RM)</t>
        </is>
      </c>
      <c r="B21" s="2" t="inlineStr">
        <is>
          <t>N/A</t>
        </is>
      </c>
      <c r="C21" s="3" t="inlineStr">
        <is>
          <t>Revisar planilla de Procesos (ultima hora)</t>
        </is>
      </c>
      <c r="D21" s="3" t="inlineStr">
        <is>
          <t>A completar</t>
        </is>
      </c>
      <c r="E21" s="4" t="inlineStr">
        <is>
          <t>Se hace</t>
        </is>
      </c>
      <c r="F21" s="2" t="inlineStr">
        <is>
          <t>RM</t>
        </is>
      </c>
      <c r="G21" s="2" t="inlineStr">
        <is>
          <t>Diario</t>
        </is>
      </c>
      <c r="H21" s="2" t="inlineStr">
        <is>
          <t>1</t>
        </is>
      </c>
      <c r="I21" s="2" t="inlineStr">
        <is>
          <t>22</t>
        </is>
      </c>
      <c r="J21" s="2" t="inlineStr">
        <is>
          <t>No calcular aun</t>
        </is>
      </c>
      <c r="K21" s="3" t="inlineStr"/>
      <c r="L21" s="2" t="inlineStr"/>
      <c r="M21" s="3" t="inlineStr">
        <is>
          <t>Dia/momento: Primer dia. | Tiempo de origen (planilla Procesos Diarios) sin validar - no usar para calcular horas hasta confirmar con AB/RM</t>
        </is>
      </c>
    </row>
    <row r="22">
      <c r="A22" s="2" t="inlineStr">
        <is>
          <t>Coordinacion de Guardia</t>
        </is>
      </c>
      <c r="B22" s="2" t="inlineStr">
        <is>
          <t>Coordinacion de Guardia</t>
        </is>
      </c>
      <c r="C22" s="3" t="inlineStr">
        <is>
          <t>Recepcion de N de Ticket</t>
        </is>
      </c>
      <c r="D22" s="3" t="inlineStr">
        <is>
          <t>A completar</t>
        </is>
      </c>
      <c r="E22" s="4" t="inlineStr">
        <is>
          <t>Se hace</t>
        </is>
      </c>
      <c r="F22" s="2" t="inlineStr">
        <is>
          <t>RM</t>
        </is>
      </c>
      <c r="G22" s="2" t="inlineStr">
        <is>
          <t>Mensual</t>
        </is>
      </c>
      <c r="H22" s="2" t="inlineStr">
        <is>
          <t>15</t>
        </is>
      </c>
      <c r="I22" s="2" t="inlineStr">
        <is>
          <t>1</t>
        </is>
      </c>
      <c r="J22" s="2" t="inlineStr">
        <is>
          <t>No calcular aun</t>
        </is>
      </c>
      <c r="K22" s="3" t="inlineStr"/>
      <c r="L22" s="2" t="inlineStr"/>
      <c r="M22" s="3" t="inlineStr">
        <is>
          <t>Tiempo de origen (planilla Procesos Diarios) sin validar - no usar para calcular horas hasta confirmar con AB/RM</t>
        </is>
      </c>
    </row>
    <row r="23">
      <c r="A23" s="2" t="inlineStr">
        <is>
          <t>Coordinacion de Guardia</t>
        </is>
      </c>
      <c r="B23" s="2" t="inlineStr">
        <is>
          <t>Coordinacion de Guardia</t>
        </is>
      </c>
      <c r="C23" s="3" t="inlineStr">
        <is>
          <t>Compartir N de Ticket en WhatsApp y Telegram</t>
        </is>
      </c>
      <c r="D23" s="3" t="inlineStr">
        <is>
          <t>A completar</t>
        </is>
      </c>
      <c r="E23" s="4" t="inlineStr">
        <is>
          <t>Se hace</t>
        </is>
      </c>
      <c r="F23" s="2" t="inlineStr">
        <is>
          <t>RM</t>
        </is>
      </c>
      <c r="G23" s="2" t="inlineStr">
        <is>
          <t>Mensual</t>
        </is>
      </c>
      <c r="H23" s="2" t="inlineStr">
        <is>
          <t>5</t>
        </is>
      </c>
      <c r="I23" s="2" t="inlineStr">
        <is>
          <t>1</t>
        </is>
      </c>
      <c r="J23" s="2" t="inlineStr">
        <is>
          <t>No calcular aun</t>
        </is>
      </c>
      <c r="K23" s="3" t="inlineStr"/>
      <c r="L23" s="2" t="inlineStr"/>
      <c r="M23" s="3" t="inlineStr">
        <is>
          <t>Tiempo de origen (planilla Procesos Diarios) sin validar - no usar para calcular horas hasta confirmar con AB/RM</t>
        </is>
      </c>
    </row>
    <row r="24">
      <c r="A24" s="2" t="inlineStr">
        <is>
          <t>Coordinacion de Guardia</t>
        </is>
      </c>
      <c r="B24" s="2" t="inlineStr">
        <is>
          <t>Coordinacion de Guardia</t>
        </is>
      </c>
      <c r="C24" s="3" t="inlineStr">
        <is>
          <t>Coordinacion de guardia CM</t>
        </is>
      </c>
      <c r="D24" s="3" t="inlineStr">
        <is>
          <t>A completar</t>
        </is>
      </c>
      <c r="E24" s="4" t="inlineStr">
        <is>
          <t>Se hace</t>
        </is>
      </c>
      <c r="F24" s="2" t="inlineStr">
        <is>
          <t>RM</t>
        </is>
      </c>
      <c r="G24" s="2" t="inlineStr">
        <is>
          <t>Semanal</t>
        </is>
      </c>
      <c r="H24" s="2" t="inlineStr">
        <is>
          <t>15</t>
        </is>
      </c>
      <c r="I24" s="2" t="inlineStr">
        <is>
          <t>4.33</t>
        </is>
      </c>
      <c r="J24" s="2" t="inlineStr">
        <is>
          <t>No calcular aun</t>
        </is>
      </c>
      <c r="K24" s="3" t="inlineStr"/>
      <c r="L24" s="2" t="inlineStr"/>
      <c r="M24" s="3" t="inlineStr">
        <is>
          <t>Dia/momento: Miercoles. | Tiempo de origen (planilla Procesos Diarios) sin validar - no usar para calcular horas hasta confirmar con AB/RM</t>
        </is>
      </c>
    </row>
    <row r="25">
      <c r="A25" s="2" t="inlineStr">
        <is>
          <t>Coordinacion de Guardia</t>
        </is>
      </c>
      <c r="B25" s="2" t="inlineStr">
        <is>
          <t>Coordinacion de Guardia</t>
        </is>
      </c>
      <c r="C25" s="3" t="inlineStr">
        <is>
          <t>Agregar tecnico a guardia CM</t>
        </is>
      </c>
      <c r="D25" s="3" t="inlineStr">
        <is>
          <t>A completar</t>
        </is>
      </c>
      <c r="E25" s="4" t="inlineStr">
        <is>
          <t>Se hace</t>
        </is>
      </c>
      <c r="F25" s="2" t="inlineStr">
        <is>
          <t>RM</t>
        </is>
      </c>
      <c r="G25" s="2" t="inlineStr">
        <is>
          <t>Semanal</t>
        </is>
      </c>
      <c r="H25" s="2" t="inlineStr">
        <is>
          <t>A confirmar</t>
        </is>
      </c>
      <c r="I25" s="2" t="inlineStr">
        <is>
          <t>4.33</t>
        </is>
      </c>
      <c r="J25" s="2" t="inlineStr">
        <is>
          <t>A confirmar</t>
        </is>
      </c>
      <c r="K25" s="3" t="inlineStr"/>
      <c r="L25" s="2" t="inlineStr"/>
      <c r="M25" s="3" t="inlineStr">
        <is>
          <t>Dia/momento: Viernes. Tiempo ilegible en el PDF - confirmar</t>
        </is>
      </c>
    </row>
    <row r="26">
      <c r="A26" s="2" t="inlineStr">
        <is>
          <t>Coordinacion de Guardia</t>
        </is>
      </c>
      <c r="B26" s="2" t="inlineStr">
        <is>
          <t>Coordinacion de Guardia</t>
        </is>
      </c>
      <c r="C26" s="3" t="inlineStr">
        <is>
          <t>Sacar tecnico de guardia CM</t>
        </is>
      </c>
      <c r="D26" s="3" t="inlineStr">
        <is>
          <t>A completar</t>
        </is>
      </c>
      <c r="E26" s="4" t="inlineStr">
        <is>
          <t>Se hace</t>
        </is>
      </c>
      <c r="F26" s="2" t="inlineStr">
        <is>
          <t>RM</t>
        </is>
      </c>
      <c r="G26" s="2" t="inlineStr">
        <is>
          <t>Semanal</t>
        </is>
      </c>
      <c r="H26" s="2" t="inlineStr">
        <is>
          <t>A confirmar</t>
        </is>
      </c>
      <c r="I26" s="2" t="inlineStr">
        <is>
          <t>4.33</t>
        </is>
      </c>
      <c r="J26" s="2" t="inlineStr">
        <is>
          <t>A confirmar</t>
        </is>
      </c>
      <c r="K26" s="3" t="inlineStr"/>
      <c r="L26" s="2" t="inlineStr"/>
      <c r="M26" s="3" t="inlineStr">
        <is>
          <t>Dia/momento: Viernes. Tiempo ilegible en el PDF - confirmar</t>
        </is>
      </c>
    </row>
    <row r="27">
      <c r="A27" s="2" t="inlineStr">
        <is>
          <t>ODS (Ordenes de Servicio)</t>
        </is>
      </c>
      <c r="B27" s="2" t="inlineStr">
        <is>
          <t>OS</t>
        </is>
      </c>
      <c r="C27" s="3" t="inlineStr">
        <is>
          <t>Control e impresion de O.D.S.</t>
        </is>
      </c>
      <c r="D27" s="3" t="inlineStr">
        <is>
          <t>A completar</t>
        </is>
      </c>
      <c r="E27" s="4" t="inlineStr">
        <is>
          <t>Se hace</t>
        </is>
      </c>
      <c r="F27" s="2" t="inlineStr">
        <is>
          <t>RM</t>
        </is>
      </c>
      <c r="G27" s="2" t="inlineStr">
        <is>
          <t>Mensual</t>
        </is>
      </c>
      <c r="H27" s="2" t="inlineStr">
        <is>
          <t>45</t>
        </is>
      </c>
      <c r="I27" s="2" t="inlineStr">
        <is>
          <t>1</t>
        </is>
      </c>
      <c r="J27" s="2" t="inlineStr">
        <is>
          <t>No calcular aun</t>
        </is>
      </c>
      <c r="K27" s="3" t="inlineStr"/>
      <c r="L27" s="2" t="inlineStr"/>
      <c r="M27" s="3" t="inlineStr">
        <is>
          <t>Dia/momento: Primer jueves. | Tiempo de origen (planilla Procesos Diarios) sin validar - no usar para calcular horas hasta confirmar con AB/RM</t>
        </is>
      </c>
    </row>
    <row r="28">
      <c r="A28" s="2" t="inlineStr">
        <is>
          <t>ODS (Ordenes de Servicio)</t>
        </is>
      </c>
      <c r="B28" s="2" t="inlineStr">
        <is>
          <t>OS</t>
        </is>
      </c>
      <c r="C28" s="3" t="inlineStr">
        <is>
          <t>Control e impresion de etiquetas de baterias</t>
        </is>
      </c>
      <c r="D28" s="3" t="inlineStr">
        <is>
          <t>A completar</t>
        </is>
      </c>
      <c r="E28" s="4" t="inlineStr">
        <is>
          <t>Se hace</t>
        </is>
      </c>
      <c r="F28" s="2" t="inlineStr">
        <is>
          <t>RM</t>
        </is>
      </c>
      <c r="G28" s="2" t="inlineStr">
        <is>
          <t>Mensual</t>
        </is>
      </c>
      <c r="H28" s="2" t="inlineStr">
        <is>
          <t>45</t>
        </is>
      </c>
      <c r="I28" s="2" t="inlineStr">
        <is>
          <t>1</t>
        </is>
      </c>
      <c r="J28" s="2" t="inlineStr">
        <is>
          <t>No calcular aun</t>
        </is>
      </c>
      <c r="K28" s="3" t="inlineStr"/>
      <c r="L28" s="2" t="inlineStr"/>
      <c r="M28" s="3" t="inlineStr">
        <is>
          <t>Dia/momento: Tercer jueves. | Tiempo de origen (planilla Procesos Diarios) sin validar - no usar para calcular horas hasta confirmar con AB/RM</t>
        </is>
      </c>
    </row>
    <row r="29">
      <c r="A29" s="2" t="inlineStr">
        <is>
          <t>ODS (Ordenes de Servicio)</t>
        </is>
      </c>
      <c r="B29" s="2" t="inlineStr">
        <is>
          <t>OS</t>
        </is>
      </c>
      <c r="C29" s="3" t="inlineStr">
        <is>
          <t>Carga de N de ODS a Telegram</t>
        </is>
      </c>
      <c r="D29" s="3" t="inlineStr">
        <is>
          <t>A completar</t>
        </is>
      </c>
      <c r="E29" s="4" t="inlineStr">
        <is>
          <t>Se hace</t>
        </is>
      </c>
      <c r="F29" s="2" t="inlineStr">
        <is>
          <t>RM</t>
        </is>
      </c>
      <c r="G29" s="2" t="inlineStr">
        <is>
          <t>Semanal</t>
        </is>
      </c>
      <c r="H29" s="2" t="inlineStr">
        <is>
          <t>15</t>
        </is>
      </c>
      <c r="I29" s="2" t="inlineStr">
        <is>
          <t>4.33</t>
        </is>
      </c>
      <c r="J29" s="2" t="inlineStr">
        <is>
          <t>No calcular aun</t>
        </is>
      </c>
      <c r="K29" s="3" t="inlineStr"/>
      <c r="L29" s="2" t="inlineStr"/>
      <c r="M29" s="3" t="inlineStr">
        <is>
          <t>Dia/momento: Lunes. | Tiempo de origen (planilla Procesos Diarios) sin validar - no usar para calcular horas hasta confirmar con AB/RM</t>
        </is>
      </c>
    </row>
    <row r="30">
      <c r="A30" s="2" t="inlineStr">
        <is>
          <t>ODS (Ordenes de Servicio)</t>
        </is>
      </c>
      <c r="B30" s="2" t="inlineStr">
        <is>
          <t>OS</t>
        </is>
      </c>
      <c r="C30" s="3" t="inlineStr">
        <is>
          <t>Carga de ODS a CM</t>
        </is>
      </c>
      <c r="D30" s="3" t="inlineStr">
        <is>
          <t>A completar</t>
        </is>
      </c>
      <c r="E30" s="4" t="inlineStr">
        <is>
          <t>Se hace</t>
        </is>
      </c>
      <c r="F30" s="2" t="inlineStr">
        <is>
          <t>RM</t>
        </is>
      </c>
      <c r="G30" s="2" t="inlineStr">
        <is>
          <t>Semanal</t>
        </is>
      </c>
      <c r="H30" s="2" t="inlineStr">
        <is>
          <t>360</t>
        </is>
      </c>
      <c r="I30" s="2" t="inlineStr">
        <is>
          <t>4.33</t>
        </is>
      </c>
      <c r="J30" s="2" t="inlineStr">
        <is>
          <t>No calcular aun</t>
        </is>
      </c>
      <c r="K30" s="3" t="inlineStr"/>
      <c r="L30" s="2" t="inlineStr"/>
      <c r="M30" s="3" t="inlineStr">
        <is>
          <t>Dia/momento: Lunes y Martes. | Tiempo de origen (planilla Procesos Diarios) sin validar - no usar para calcular horas hasta confirmar con AB/RM</t>
        </is>
      </c>
    </row>
    <row r="31">
      <c r="A31" s="2" t="inlineStr">
        <is>
          <t>ODS (Ordenes de Servicio)</t>
        </is>
      </c>
      <c r="B31" s="2" t="inlineStr">
        <is>
          <t>OS</t>
        </is>
      </c>
      <c r="C31" s="3" t="inlineStr">
        <is>
          <t>Entrega de ODS a Administracion</t>
        </is>
      </c>
      <c r="D31" s="3" t="inlineStr">
        <is>
          <t>A completar</t>
        </is>
      </c>
      <c r="E31" s="4" t="inlineStr">
        <is>
          <t>Se hace</t>
        </is>
      </c>
      <c r="F31" s="2" t="inlineStr">
        <is>
          <t>RM</t>
        </is>
      </c>
      <c r="G31" s="2" t="inlineStr">
        <is>
          <t>Semanal</t>
        </is>
      </c>
      <c r="H31" s="2" t="inlineStr">
        <is>
          <t>10</t>
        </is>
      </c>
      <c r="I31" s="2" t="inlineStr">
        <is>
          <t>4.33</t>
        </is>
      </c>
      <c r="J31" s="2" t="inlineStr">
        <is>
          <t>No calcular aun</t>
        </is>
      </c>
      <c r="K31" s="3" t="inlineStr"/>
      <c r="L31" s="2" t="inlineStr"/>
      <c r="M31" s="3" t="inlineStr">
        <is>
          <t>Dia/momento: Lunes. | Tiempo de origen (planilla Procesos Diarios) sin validar - no usar para calcular horas hasta confirmar con AB/RM</t>
        </is>
      </c>
    </row>
    <row r="32">
      <c r="A32" s="2" t="inlineStr">
        <is>
          <t>ODS (Ordenes de Servicio)</t>
        </is>
      </c>
      <c r="B32" s="2" t="inlineStr">
        <is>
          <t>OS</t>
        </is>
      </c>
      <c r="C32" s="3" t="inlineStr">
        <is>
          <t>Control de ODS cargadas y descuentos</t>
        </is>
      </c>
      <c r="D32" s="3" t="inlineStr">
        <is>
          <t>A completar</t>
        </is>
      </c>
      <c r="E32" s="4" t="inlineStr">
        <is>
          <t>Se hace</t>
        </is>
      </c>
      <c r="F32" s="2" t="inlineStr">
        <is>
          <t>RM</t>
        </is>
      </c>
      <c r="G32" s="2" t="inlineStr">
        <is>
          <t>Semanal</t>
        </is>
      </c>
      <c r="H32" s="2" t="inlineStr">
        <is>
          <t>30</t>
        </is>
      </c>
      <c r="I32" s="2" t="inlineStr">
        <is>
          <t>4.33</t>
        </is>
      </c>
      <c r="J32" s="2" t="inlineStr">
        <is>
          <t>No calcular aun</t>
        </is>
      </c>
      <c r="K32" s="3" t="inlineStr"/>
      <c r="L32" s="2" t="inlineStr"/>
      <c r="M32" s="3" t="inlineStr">
        <is>
          <t>Dia/momento: Lunes y Martes. | Tiempo de origen (planilla Procesos Diarios) sin validar - no usar para calcular horas hasta confirmar con AB/RM</t>
        </is>
      </c>
    </row>
    <row r="33">
      <c r="A33" s="2" t="inlineStr">
        <is>
          <t>Configuracion AXPRO (RM)</t>
        </is>
      </c>
      <c r="B33" s="2" t="inlineStr">
        <is>
          <t>N/A</t>
        </is>
      </c>
      <c r="C33" s="3" t="inlineStr">
        <is>
          <t>Cargar factura Personal Jasper</t>
        </is>
      </c>
      <c r="D33" s="3" t="inlineStr">
        <is>
          <t>A completar</t>
        </is>
      </c>
      <c r="E33" s="4" t="inlineStr">
        <is>
          <t>Se hace</t>
        </is>
      </c>
      <c r="F33" s="2" t="inlineStr">
        <is>
          <t>RM</t>
        </is>
      </c>
      <c r="G33" s="2" t="inlineStr">
        <is>
          <t>Mensual</t>
        </is>
      </c>
      <c r="H33" s="2" t="inlineStr">
        <is>
          <t>15</t>
        </is>
      </c>
      <c r="I33" s="2" t="inlineStr">
        <is>
          <t>1</t>
        </is>
      </c>
      <c r="J33" s="2" t="inlineStr">
        <is>
          <t>No calcular aun</t>
        </is>
      </c>
      <c r="K33" s="3" t="inlineStr"/>
      <c r="L33" s="2" t="inlineStr"/>
      <c r="M33" s="3" t="inlineStr">
        <is>
          <t>Dia/momento: Dia 13.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34">
      <c r="A34" s="2" t="inlineStr">
        <is>
          <t>Configuracion AXPRO (RM)</t>
        </is>
      </c>
      <c r="B34" s="2" t="inlineStr">
        <is>
          <t>N/A</t>
        </is>
      </c>
      <c r="C34" s="3" t="inlineStr">
        <is>
          <t>Cargar factura Movistar Smart</t>
        </is>
      </c>
      <c r="D34" s="3" t="inlineStr">
        <is>
          <t>A completar</t>
        </is>
      </c>
      <c r="E34" s="4" t="inlineStr">
        <is>
          <t>Se hace</t>
        </is>
      </c>
      <c r="F34" s="2" t="inlineStr">
        <is>
          <t>RM</t>
        </is>
      </c>
      <c r="G34" s="2" t="inlineStr">
        <is>
          <t>Mensual</t>
        </is>
      </c>
      <c r="H34" s="2" t="inlineStr">
        <is>
          <t>15</t>
        </is>
      </c>
      <c r="I34" s="2" t="inlineStr">
        <is>
          <t>1</t>
        </is>
      </c>
      <c r="J34" s="2" t="inlineStr">
        <is>
          <t>No calcular aun</t>
        </is>
      </c>
      <c r="K34" s="3" t="inlineStr"/>
      <c r="L34" s="2" t="inlineStr"/>
      <c r="M34" s="3" t="inlineStr">
        <is>
          <t>Dia/momento: Dia 13.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35">
      <c r="A35" s="2" t="inlineStr">
        <is>
          <t>Configuracion AXPRO (RM)</t>
        </is>
      </c>
      <c r="B35" s="2" t="inlineStr">
        <is>
          <t>N/A</t>
        </is>
      </c>
      <c r="C35" s="3" t="inlineStr">
        <is>
          <t>Cargar factura Claro Empleados</t>
        </is>
      </c>
      <c r="D35" s="3" t="inlineStr">
        <is>
          <t>A completar</t>
        </is>
      </c>
      <c r="E35" s="4" t="inlineStr">
        <is>
          <t>Se hace</t>
        </is>
      </c>
      <c r="F35" s="2" t="inlineStr">
        <is>
          <t>RM</t>
        </is>
      </c>
      <c r="G35" s="2" t="inlineStr">
        <is>
          <t>Mensual</t>
        </is>
      </c>
      <c r="H35" s="2" t="inlineStr">
        <is>
          <t>15</t>
        </is>
      </c>
      <c r="I35" s="2" t="inlineStr">
        <is>
          <t>1</t>
        </is>
      </c>
      <c r="J35" s="2" t="inlineStr">
        <is>
          <t>No calcular aun</t>
        </is>
      </c>
      <c r="K35" s="3" t="inlineStr"/>
      <c r="L35" s="2" t="inlineStr"/>
      <c r="M35" s="3" t="inlineStr">
        <is>
          <t>Dia/momento: Dia 13.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36">
      <c r="A36" s="2" t="inlineStr">
        <is>
          <t>Configuracion AXPRO (RM)</t>
        </is>
      </c>
      <c r="B36" s="2" t="inlineStr">
        <is>
          <t>N/A</t>
        </is>
      </c>
      <c r="C36" s="3" t="inlineStr">
        <is>
          <t>Cargar factura Claro M2M</t>
        </is>
      </c>
      <c r="D36" s="3" t="inlineStr">
        <is>
          <t>A completar</t>
        </is>
      </c>
      <c r="E36" s="4" t="inlineStr">
        <is>
          <t>Se hace</t>
        </is>
      </c>
      <c r="F36" s="2" t="inlineStr">
        <is>
          <t>RM</t>
        </is>
      </c>
      <c r="G36" s="2" t="inlineStr">
        <is>
          <t>Mensual</t>
        </is>
      </c>
      <c r="H36" s="2" t="inlineStr">
        <is>
          <t>15</t>
        </is>
      </c>
      <c r="I36" s="2" t="inlineStr">
        <is>
          <t>1</t>
        </is>
      </c>
      <c r="J36" s="2" t="inlineStr">
        <is>
          <t>No calcular aun</t>
        </is>
      </c>
      <c r="K36" s="3" t="inlineStr"/>
      <c r="L36" s="2" t="inlineStr"/>
      <c r="M36" s="3" t="inlineStr">
        <is>
          <t>Dia/momento: Dia 13.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37">
      <c r="A37" s="2" t="inlineStr">
        <is>
          <t>Configuracion AXPRO (RM)</t>
        </is>
      </c>
      <c r="B37" s="2" t="inlineStr">
        <is>
          <t>N/A</t>
        </is>
      </c>
      <c r="C37" s="3" t="inlineStr">
        <is>
          <t>Cargar factura Personal M2M</t>
        </is>
      </c>
      <c r="D37" s="3" t="inlineStr">
        <is>
          <t>A completar</t>
        </is>
      </c>
      <c r="E37" s="4" t="inlineStr">
        <is>
          <t>Se hace</t>
        </is>
      </c>
      <c r="F37" s="2" t="inlineStr">
        <is>
          <t>RM</t>
        </is>
      </c>
      <c r="G37" s="2" t="inlineStr">
        <is>
          <t>Mensual</t>
        </is>
      </c>
      <c r="H37" s="2" t="inlineStr">
        <is>
          <t>15</t>
        </is>
      </c>
      <c r="I37" s="2" t="inlineStr">
        <is>
          <t>1</t>
        </is>
      </c>
      <c r="J37" s="2" t="inlineStr">
        <is>
          <t>No calcular aun</t>
        </is>
      </c>
      <c r="K37" s="3" t="inlineStr"/>
      <c r="L37" s="2" t="inlineStr"/>
      <c r="M37" s="3" t="inlineStr">
        <is>
          <t>Dia/momento: Dia 17.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38">
      <c r="A38" s="2" t="inlineStr">
        <is>
          <t>Configuracion AXPRO (RM)</t>
        </is>
      </c>
      <c r="B38" s="2" t="inlineStr">
        <is>
          <t>N/A</t>
        </is>
      </c>
      <c r="C38" s="3" t="inlineStr">
        <is>
          <t>Cargar factura Claro Jasper</t>
        </is>
      </c>
      <c r="D38" s="3" t="inlineStr">
        <is>
          <t>A completar</t>
        </is>
      </c>
      <c r="E38" s="4" t="inlineStr">
        <is>
          <t>Se hace</t>
        </is>
      </c>
      <c r="F38" s="2" t="inlineStr">
        <is>
          <t>RM</t>
        </is>
      </c>
      <c r="G38" s="2" t="inlineStr">
        <is>
          <t>Mensual</t>
        </is>
      </c>
      <c r="H38" s="2" t="inlineStr">
        <is>
          <t>15</t>
        </is>
      </c>
      <c r="I38" s="2" t="inlineStr">
        <is>
          <t>1</t>
        </is>
      </c>
      <c r="J38" s="2" t="inlineStr">
        <is>
          <t>No calcular aun</t>
        </is>
      </c>
      <c r="K38" s="3" t="inlineStr"/>
      <c r="L38" s="2" t="inlineStr"/>
      <c r="M38" s="3" t="inlineStr">
        <is>
          <t>Dia/momento: Dia 17.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39">
      <c r="A39" s="2" t="inlineStr">
        <is>
          <t>Configuracion AXPRO (RM)</t>
        </is>
      </c>
      <c r="B39" s="2" t="inlineStr">
        <is>
          <t>N/A</t>
        </is>
      </c>
      <c r="C39" s="3" t="inlineStr">
        <is>
          <t>Analisis de factura de chips</t>
        </is>
      </c>
      <c r="D39" s="3" t="inlineStr">
        <is>
          <t>A completar</t>
        </is>
      </c>
      <c r="E39" s="4" t="inlineStr">
        <is>
          <t>Se hace</t>
        </is>
      </c>
      <c r="F39" s="2" t="inlineStr">
        <is>
          <t>RM</t>
        </is>
      </c>
      <c r="G39" s="2" t="inlineStr">
        <is>
          <t>Mensual</t>
        </is>
      </c>
      <c r="H39" s="2" t="inlineStr">
        <is>
          <t>45</t>
        </is>
      </c>
      <c r="I39" s="2" t="inlineStr">
        <is>
          <t>1</t>
        </is>
      </c>
      <c r="J39" s="2" t="inlineStr">
        <is>
          <t>No calcular aun</t>
        </is>
      </c>
      <c r="K39" s="3" t="inlineStr"/>
      <c r="L39" s="2" t="inlineStr"/>
      <c r="M39" s="3" t="inlineStr">
        <is>
          <t>Dia/momento: Dia 17.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40">
      <c r="A40" s="2" t="inlineStr">
        <is>
          <t>Configuracion AXPRO (RM)</t>
        </is>
      </c>
      <c r="B40" s="2" t="inlineStr">
        <is>
          <t>N/A</t>
        </is>
      </c>
      <c r="C40" s="3" t="inlineStr">
        <is>
          <t>Publicar resumen de gastos de chips</t>
        </is>
      </c>
      <c r="D40" s="3" t="inlineStr">
        <is>
          <t>A completar</t>
        </is>
      </c>
      <c r="E40" s="4" t="inlineStr">
        <is>
          <t>Se hace</t>
        </is>
      </c>
      <c r="F40" s="2" t="inlineStr">
        <is>
          <t>RM</t>
        </is>
      </c>
      <c r="G40" s="2" t="inlineStr">
        <is>
          <t>Mensual</t>
        </is>
      </c>
      <c r="H40" s="2" t="inlineStr">
        <is>
          <t>15</t>
        </is>
      </c>
      <c r="I40" s="2" t="inlineStr">
        <is>
          <t>1</t>
        </is>
      </c>
      <c r="J40" s="2" t="inlineStr">
        <is>
          <t>No calcular aun</t>
        </is>
      </c>
      <c r="K40" s="3" t="inlineStr"/>
      <c r="L40" s="2" t="inlineStr"/>
      <c r="M40" s="3" t="inlineStr">
        <is>
          <t>Dia/momento: Dia 17.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41">
      <c r="A41" s="2" t="inlineStr">
        <is>
          <t>Configuracion AXPRO (RM)</t>
        </is>
      </c>
      <c r="B41" s="2" t="inlineStr">
        <is>
          <t>N/A</t>
        </is>
      </c>
      <c r="C41" s="3" t="inlineStr">
        <is>
          <t>Control de chips</t>
        </is>
      </c>
      <c r="D41" s="3" t="inlineStr">
        <is>
          <t>A completar</t>
        </is>
      </c>
      <c r="E41" s="4" t="inlineStr">
        <is>
          <t>Se hace</t>
        </is>
      </c>
      <c r="F41" s="2" t="inlineStr">
        <is>
          <t>RM</t>
        </is>
      </c>
      <c r="G41" s="2" t="inlineStr">
        <is>
          <t>Semanal</t>
        </is>
      </c>
      <c r="H41" s="2" t="inlineStr">
        <is>
          <t>45</t>
        </is>
      </c>
      <c r="I41" s="2" t="inlineStr">
        <is>
          <t>4.33</t>
        </is>
      </c>
      <c r="J41" s="2" t="inlineStr">
        <is>
          <t>No calcular aun</t>
        </is>
      </c>
      <c r="K41" s="3" t="inlineStr"/>
      <c r="L41" s="2" t="inlineStr"/>
      <c r="M41" s="3" t="inlineStr">
        <is>
          <t>Dia/momento: Jueves.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42">
      <c r="A42" s="2" t="inlineStr">
        <is>
          <t>Configuracion AXPRO (RM)</t>
        </is>
      </c>
      <c r="B42" s="2" t="inlineStr">
        <is>
          <t>N/A</t>
        </is>
      </c>
      <c r="C42" s="3" t="inlineStr">
        <is>
          <t>Solicitar baja de chips</t>
        </is>
      </c>
      <c r="D42" s="3" t="inlineStr">
        <is>
          <t>A completar</t>
        </is>
      </c>
      <c r="E42" s="4" t="inlineStr">
        <is>
          <t>Se hace</t>
        </is>
      </c>
      <c r="F42" s="2" t="inlineStr">
        <is>
          <t>RM</t>
        </is>
      </c>
      <c r="G42" s="2" t="inlineStr">
        <is>
          <t>Semanal</t>
        </is>
      </c>
      <c r="H42" s="2" t="inlineStr">
        <is>
          <t>15</t>
        </is>
      </c>
      <c r="I42" s="2" t="inlineStr">
        <is>
          <t>4.33</t>
        </is>
      </c>
      <c r="J42" s="2" t="inlineStr">
        <is>
          <t>No calcular aun</t>
        </is>
      </c>
      <c r="K42" s="3" t="inlineStr"/>
      <c r="L42" s="2" t="inlineStr"/>
      <c r="M42" s="3" t="inlineStr">
        <is>
          <t>Dia/momento: Viernes.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43">
      <c r="A43" s="2" t="inlineStr">
        <is>
          <t>Configuracion AXPRO (RM)</t>
        </is>
      </c>
      <c r="B43" s="2" t="inlineStr">
        <is>
          <t>N/A</t>
        </is>
      </c>
      <c r="C43" s="3" t="inlineStr">
        <is>
          <t>Recupero de chips</t>
        </is>
      </c>
      <c r="D43" s="3" t="inlineStr">
        <is>
          <t>A completar</t>
        </is>
      </c>
      <c r="E43" s="4" t="inlineStr">
        <is>
          <t>Se hace</t>
        </is>
      </c>
      <c r="F43" s="2" t="inlineStr">
        <is>
          <t>RM</t>
        </is>
      </c>
      <c r="G43" s="2" t="inlineStr">
        <is>
          <t>Semanal</t>
        </is>
      </c>
      <c r="H43" s="2" t="inlineStr">
        <is>
          <t>15</t>
        </is>
      </c>
      <c r="I43" s="2" t="inlineStr">
        <is>
          <t>4.33</t>
        </is>
      </c>
      <c r="J43" s="2" t="inlineStr">
        <is>
          <t>No calcular aun</t>
        </is>
      </c>
      <c r="K43" s="3" t="inlineStr"/>
      <c r="L43" s="2" t="inlineStr"/>
      <c r="M43" s="3" t="inlineStr">
        <is>
          <t>Dia/momento: Jueves.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44">
      <c r="A44" s="2" t="inlineStr">
        <is>
          <t>Configuracion AXPRO (RM)</t>
        </is>
      </c>
      <c r="B44" s="2" t="inlineStr">
        <is>
          <t>N/A</t>
        </is>
      </c>
      <c r="C44" s="3" t="inlineStr">
        <is>
          <t>Activar chips (altas de lineas moviles)</t>
        </is>
      </c>
      <c r="D44" s="3" t="inlineStr">
        <is>
          <t>A completar</t>
        </is>
      </c>
      <c r="E44" s="4" t="inlineStr">
        <is>
          <t>Se hace</t>
        </is>
      </c>
      <c r="F44" s="2" t="inlineStr">
        <is>
          <t>RM</t>
        </is>
      </c>
      <c r="G44" s="2" t="inlineStr">
        <is>
          <t>Semanal</t>
        </is>
      </c>
      <c r="H44" s="2" t="inlineStr">
        <is>
          <t>15</t>
        </is>
      </c>
      <c r="I44" s="2" t="inlineStr">
        <is>
          <t>4.33</t>
        </is>
      </c>
      <c r="J44" s="2" t="inlineStr">
        <is>
          <t>No calcular aun</t>
        </is>
      </c>
      <c r="K44" s="3" t="inlineStr"/>
      <c r="L44" s="2" t="inlineStr"/>
      <c r="M44" s="3" t="inlineStr">
        <is>
          <t>Dia/momento: Jueves. | Tiempo de origen (planilla Procesos Diarios) sin validar - no usar para calcular horas hasta confirmar con AB/RM | JL confirmo (18/08/2026): es el mismo proceso Chips que el de AB (bloqueo/desbloqueo AXpro/Paradox, jueves) - dos procedimientos de un mismo proceso. Fusion pendiente de hacer en detalle mas adelante. | Renombrado el 18/08/2026: JL confirmo que el jueves de RM se llama 'Configuracion AXPRO', pero estas tareas de facturacion/altas-bajas de chips no calzan obviamente con ese nombre - PENDIENTE confirmar si son lo mismo o si Configuracion AXPRO es otra cosa aparte.</t>
        </is>
      </c>
    </row>
    <row r="45">
      <c r="A45" s="2" t="inlineStr">
        <is>
          <t>Remoto de Equipos (REE)</t>
        </is>
      </c>
      <c r="B45" s="2" t="inlineStr">
        <is>
          <t>REE</t>
        </is>
      </c>
      <c r="C45" s="3" t="inlineStr">
        <is>
          <t>Carga de REE en Manager2GO</t>
        </is>
      </c>
      <c r="D45" s="3" t="inlineStr">
        <is>
          <t>A completar</t>
        </is>
      </c>
      <c r="E45" s="4" t="inlineStr">
        <is>
          <t>Se hace</t>
        </is>
      </c>
      <c r="F45" s="2" t="inlineStr">
        <is>
          <t>RM</t>
        </is>
      </c>
      <c r="G45" s="2" t="inlineStr">
        <is>
          <t>Semanal</t>
        </is>
      </c>
      <c r="H45" s="2" t="inlineStr">
        <is>
          <t>360</t>
        </is>
      </c>
      <c r="I45" s="2" t="inlineStr">
        <is>
          <t>4.33</t>
        </is>
      </c>
      <c r="J45" s="2" t="inlineStr">
        <is>
          <t>No calcular aun</t>
        </is>
      </c>
      <c r="K45" s="3" t="inlineStr"/>
      <c r="L45" s="2" t="inlineStr"/>
      <c r="M45" s="3" t="inlineStr">
        <is>
          <t>Dia/momento: Miercoles. | Tiempo de origen (planilla Procesos Diarios) sin validar - no usar para calcular horas hasta confirmar con AB/RM</t>
        </is>
      </c>
    </row>
    <row r="46">
      <c r="A46" s="2" t="inlineStr">
        <is>
          <t>Remoto de Equipos (REE)</t>
        </is>
      </c>
      <c r="B46" s="2" t="inlineStr">
        <is>
          <t>REE</t>
        </is>
      </c>
      <c r="C46" s="3" t="inlineStr">
        <is>
          <t>Carga de chips en REE</t>
        </is>
      </c>
      <c r="D46" s="3" t="inlineStr">
        <is>
          <t>A completar</t>
        </is>
      </c>
      <c r="E46" s="4" t="inlineStr">
        <is>
          <t>Se hace</t>
        </is>
      </c>
      <c r="F46" s="2" t="inlineStr">
        <is>
          <t>RM</t>
        </is>
      </c>
      <c r="G46" s="2" t="inlineStr">
        <is>
          <t>Semanal</t>
        </is>
      </c>
      <c r="H46" s="2" t="inlineStr">
        <is>
          <t>A confirmar</t>
        </is>
      </c>
      <c r="I46" s="2" t="inlineStr">
        <is>
          <t>4.33</t>
        </is>
      </c>
      <c r="J46" s="2" t="inlineStr">
        <is>
          <t>A confirmar</t>
        </is>
      </c>
      <c r="K46" s="3" t="inlineStr"/>
      <c r="L46" s="2" t="inlineStr"/>
      <c r="M46" s="3" t="inlineStr">
        <is>
          <t>Dia/momento: Miercoles. Tiempo no relevado en el PDF - confirmar</t>
        </is>
      </c>
    </row>
    <row r="47">
      <c r="A47" s="2" t="inlineStr">
        <is>
          <t>Remoto de Equipos (REE)</t>
        </is>
      </c>
      <c r="B47" s="2" t="inlineStr">
        <is>
          <t>REE</t>
        </is>
      </c>
      <c r="C47" s="3" t="inlineStr">
        <is>
          <t>Carga de baterias en REE</t>
        </is>
      </c>
      <c r="D47" s="3" t="inlineStr">
        <is>
          <t>A completar</t>
        </is>
      </c>
      <c r="E47" s="4" t="inlineStr">
        <is>
          <t>Se hace</t>
        </is>
      </c>
      <c r="F47" s="2" t="inlineStr">
        <is>
          <t>RM</t>
        </is>
      </c>
      <c r="G47" s="2" t="inlineStr">
        <is>
          <t>Semanal</t>
        </is>
      </c>
      <c r="H47" s="2" t="inlineStr">
        <is>
          <t>A confirmar</t>
        </is>
      </c>
      <c r="I47" s="2" t="inlineStr">
        <is>
          <t>4.33</t>
        </is>
      </c>
      <c r="J47" s="2" t="inlineStr">
        <is>
          <t>A confirmar</t>
        </is>
      </c>
      <c r="K47" s="3" t="inlineStr"/>
      <c r="L47" s="2" t="inlineStr"/>
      <c r="M47" s="3" t="inlineStr">
        <is>
          <t>Dia/momento: Miercoles. Tiempo no relevado en el PDF - confirmar</t>
        </is>
      </c>
    </row>
    <row r="48">
      <c r="A48" s="2" t="inlineStr">
        <is>
          <t>Remoto de Equipos (REE)</t>
        </is>
      </c>
      <c r="B48" s="2" t="inlineStr">
        <is>
          <t>REE</t>
        </is>
      </c>
      <c r="C48" s="3" t="inlineStr">
        <is>
          <t>Pasar REE a carpeta 3</t>
        </is>
      </c>
      <c r="D48" s="3" t="inlineStr">
        <is>
          <t>A completar</t>
        </is>
      </c>
      <c r="E48" s="4" t="inlineStr">
        <is>
          <t>Se hace</t>
        </is>
      </c>
      <c r="F48" s="2" t="inlineStr">
        <is>
          <t>RM</t>
        </is>
      </c>
      <c r="G48" s="2" t="inlineStr">
        <is>
          <t>Semanal</t>
        </is>
      </c>
      <c r="H48" s="2" t="inlineStr">
        <is>
          <t>360</t>
        </is>
      </c>
      <c r="I48" s="2" t="inlineStr">
        <is>
          <t>4.33</t>
        </is>
      </c>
      <c r="J48" s="2" t="inlineStr">
        <is>
          <t>No calcular aun</t>
        </is>
      </c>
      <c r="K48" s="3" t="inlineStr"/>
      <c r="L48" s="2" t="inlineStr"/>
      <c r="M48" s="3" t="inlineStr">
        <is>
          <t>Dia/momento: Miercoles. | Tiempo de origen (planilla Procesos Diarios) sin validar - no usar para calcular horas hasta confirmar con AB/RM</t>
        </is>
      </c>
    </row>
    <row r="49">
      <c r="A49" s="2" t="inlineStr">
        <is>
          <t>Remoto de Equipos (REE)</t>
        </is>
      </c>
      <c r="B49" s="2" t="inlineStr">
        <is>
          <t>REE</t>
        </is>
      </c>
      <c r="C49" s="3" t="inlineStr">
        <is>
          <t>Entrega de REE a Administracion</t>
        </is>
      </c>
      <c r="D49" s="3" t="inlineStr">
        <is>
          <t>A completar</t>
        </is>
      </c>
      <c r="E49" s="4" t="inlineStr">
        <is>
          <t>Se hace</t>
        </is>
      </c>
      <c r="F49" s="2" t="inlineStr">
        <is>
          <t>RM</t>
        </is>
      </c>
      <c r="G49" s="2" t="inlineStr">
        <is>
          <t>Semanal</t>
        </is>
      </c>
      <c r="H49" s="2" t="inlineStr">
        <is>
          <t>25</t>
        </is>
      </c>
      <c r="I49" s="2" t="inlineStr">
        <is>
          <t>4.33</t>
        </is>
      </c>
      <c r="J49" s="2" t="inlineStr">
        <is>
          <t>No calcular aun</t>
        </is>
      </c>
      <c r="K49" s="3" t="inlineStr"/>
      <c r="L49" s="2" t="inlineStr"/>
      <c r="M49" s="3" t="inlineStr">
        <is>
          <t>Dia/momento: Jueves. | Tiempo de origen (planilla Procesos Diarios) sin validar - no usar para calcular horas hasta confirmar con AB/RM</t>
        </is>
      </c>
    </row>
    <row r="50">
      <c r="A50" s="2" t="inlineStr">
        <is>
          <t>Remoto de Equipos (REE)</t>
        </is>
      </c>
      <c r="B50" s="2" t="inlineStr">
        <is>
          <t>REE</t>
        </is>
      </c>
      <c r="C50" s="3" t="inlineStr">
        <is>
          <t>Adjuntar facturas a remito Manager2</t>
        </is>
      </c>
      <c r="D50" s="3" t="inlineStr">
        <is>
          <t>A completar</t>
        </is>
      </c>
      <c r="E50" s="4" t="inlineStr">
        <is>
          <t>Se hace</t>
        </is>
      </c>
      <c r="F50" s="2" t="inlineStr">
        <is>
          <t>RM</t>
        </is>
      </c>
      <c r="G50" s="2" t="inlineStr">
        <is>
          <t>Semanal</t>
        </is>
      </c>
      <c r="H50" s="2" t="inlineStr">
        <is>
          <t>30</t>
        </is>
      </c>
      <c r="I50" s="2" t="inlineStr">
        <is>
          <t>4.33</t>
        </is>
      </c>
      <c r="J50" s="2" t="inlineStr">
        <is>
          <t>No calcular aun</t>
        </is>
      </c>
      <c r="K50" s="3" t="inlineStr"/>
      <c r="L50" s="2" t="inlineStr"/>
      <c r="M50" s="3" t="inlineStr">
        <is>
          <t>Dia/momento: Jueves. | Tiempo de origen (planilla Procesos Diarios) sin validar - no usar para calcular horas hasta confirmar con AB/RM</t>
        </is>
      </c>
    </row>
    <row r="51">
      <c r="A51" s="2" t="inlineStr">
        <is>
          <t>Gestion de Flota (RM)</t>
        </is>
      </c>
      <c r="B51" s="2" t="inlineStr">
        <is>
          <t>N/A</t>
        </is>
      </c>
      <c r="C51" s="3" t="inlineStr">
        <is>
          <t>Control ITV vehiculo AF061RG</t>
        </is>
      </c>
      <c r="D51" s="3" t="inlineStr">
        <is>
          <t>A completar</t>
        </is>
      </c>
      <c r="E51" s="4" t="inlineStr">
        <is>
          <t>Se hace</t>
        </is>
      </c>
      <c r="F51" s="2" t="inlineStr">
        <is>
          <t>RM</t>
        </is>
      </c>
      <c r="G51" s="2" t="inlineStr">
        <is>
          <t>Semestral</t>
        </is>
      </c>
      <c r="H51" s="2" t="inlineStr">
        <is>
          <t>5</t>
        </is>
      </c>
      <c r="I51" s="2" t="inlineStr">
        <is>
          <t>0.17</t>
        </is>
      </c>
      <c r="J51" s="2" t="inlineStr">
        <is>
          <t>No calcular aun</t>
        </is>
      </c>
      <c r="K51" s="3" t="inlineStr"/>
      <c r="L51" s="2" t="inlineStr"/>
      <c r="M51" s="3" t="inlineStr">
        <is>
          <t>Dia/momento: Nov/May. | Tiempo de origen (planilla Procesos Diarios) sin validar - no usar para calcular horas hasta confirmar con AB/RM</t>
        </is>
      </c>
    </row>
    <row r="52">
      <c r="A52" s="2" t="inlineStr">
        <is>
          <t>Gestion de Flota (RM)</t>
        </is>
      </c>
      <c r="B52" s="2" t="inlineStr">
        <is>
          <t>N/A</t>
        </is>
      </c>
      <c r="C52" s="3" t="inlineStr">
        <is>
          <t>Control impuestos vehiculo AF061RG</t>
        </is>
      </c>
      <c r="D52" s="3" t="inlineStr">
        <is>
          <t>A completar</t>
        </is>
      </c>
      <c r="E52" s="4" t="inlineStr">
        <is>
          <t>Se hace</t>
        </is>
      </c>
      <c r="F52" s="2" t="inlineStr">
        <is>
          <t>RM</t>
        </is>
      </c>
      <c r="G52" s="2" t="inlineStr">
        <is>
          <t>Semestral</t>
        </is>
      </c>
      <c r="H52" s="2" t="inlineStr">
        <is>
          <t>5</t>
        </is>
      </c>
      <c r="I52" s="2" t="inlineStr">
        <is>
          <t>0.17</t>
        </is>
      </c>
      <c r="J52" s="2" t="inlineStr">
        <is>
          <t>No calcular aun</t>
        </is>
      </c>
      <c r="K52" s="3" t="inlineStr"/>
      <c r="L52" s="2" t="inlineStr"/>
      <c r="M52" s="3" t="inlineStr">
        <is>
          <t>Dia/momento: Nov/May. | Tiempo de origen (planilla Procesos Diarios) sin validar - no usar para calcular horas hasta confirmar con AB/RM</t>
        </is>
      </c>
    </row>
    <row r="53">
      <c r="A53" s="2" t="inlineStr">
        <is>
          <t>Gestion de Flota (RM)</t>
        </is>
      </c>
      <c r="B53" s="2" t="inlineStr">
        <is>
          <t>N/A</t>
        </is>
      </c>
      <c r="C53" s="3" t="inlineStr">
        <is>
          <t>Control ITV vehiculo AC921LR</t>
        </is>
      </c>
      <c r="D53" s="3" t="inlineStr">
        <is>
          <t>A completar</t>
        </is>
      </c>
      <c r="E53" s="4" t="inlineStr">
        <is>
          <t>Se hace</t>
        </is>
      </c>
      <c r="F53" s="2" t="inlineStr">
        <is>
          <t>RM</t>
        </is>
      </c>
      <c r="G53" s="2" t="inlineStr">
        <is>
          <t>Semestral</t>
        </is>
      </c>
      <c r="H53" s="2" t="inlineStr">
        <is>
          <t>5</t>
        </is>
      </c>
      <c r="I53" s="2" t="inlineStr">
        <is>
          <t>0.17</t>
        </is>
      </c>
      <c r="J53" s="2" t="inlineStr">
        <is>
          <t>No calcular aun</t>
        </is>
      </c>
      <c r="K53" s="3" t="inlineStr"/>
      <c r="L53" s="2" t="inlineStr"/>
      <c r="M53" s="3" t="inlineStr">
        <is>
          <t>Dia/momento: Nov/May. | Tiempo de origen (planilla Procesos Diarios) sin validar - no usar para calcular horas hasta confirmar con AB/RM</t>
        </is>
      </c>
    </row>
    <row r="54">
      <c r="A54" s="2" t="inlineStr">
        <is>
          <t>Gestion de Flota (RM)</t>
        </is>
      </c>
      <c r="B54" s="2" t="inlineStr">
        <is>
          <t>N/A</t>
        </is>
      </c>
      <c r="C54" s="3" t="inlineStr">
        <is>
          <t>Control impuestos vehiculo AC921LR</t>
        </is>
      </c>
      <c r="D54" s="3" t="inlineStr">
        <is>
          <t>A completar</t>
        </is>
      </c>
      <c r="E54" s="4" t="inlineStr">
        <is>
          <t>Se hace</t>
        </is>
      </c>
      <c r="F54" s="2" t="inlineStr">
        <is>
          <t>RM</t>
        </is>
      </c>
      <c r="G54" s="2" t="inlineStr">
        <is>
          <t>Semestral</t>
        </is>
      </c>
      <c r="H54" s="2" t="inlineStr">
        <is>
          <t>5</t>
        </is>
      </c>
      <c r="I54" s="2" t="inlineStr">
        <is>
          <t>0.17</t>
        </is>
      </c>
      <c r="J54" s="2" t="inlineStr">
        <is>
          <t>No calcular aun</t>
        </is>
      </c>
      <c r="K54" s="3" t="inlineStr"/>
      <c r="L54" s="2" t="inlineStr"/>
      <c r="M54" s="3" t="inlineStr">
        <is>
          <t>Dia/momento: Nov/May. | Tiempo de origen (planilla Procesos Diarios) sin validar - no usar para calcular horas hasta confirmar con AB/RM</t>
        </is>
      </c>
    </row>
    <row r="55">
      <c r="A55" s="2" t="inlineStr">
        <is>
          <t>TOP10</t>
        </is>
      </c>
      <c r="B55" s="2" t="inlineStr">
        <is>
          <t>Elaboracion y envio del informe semanal TOP10</t>
        </is>
      </c>
      <c r="C55" s="3" t="inlineStr">
        <is>
          <t>Actualizar Base de Datos de clientes (previo al informe)</t>
        </is>
      </c>
      <c r="D55" s="3" t="inlineStr">
        <is>
          <t>A completar</t>
        </is>
      </c>
      <c r="E55" s="4" t="inlineStr">
        <is>
          <t>Se hace</t>
        </is>
      </c>
      <c r="F55" s="2" t="inlineStr">
        <is>
          <t>RM</t>
        </is>
      </c>
      <c r="G55" s="2" t="inlineStr">
        <is>
          <t>Semanal</t>
        </is>
      </c>
      <c r="H55" s="2" t="inlineStr">
        <is>
          <t>A confirmar</t>
        </is>
      </c>
      <c r="I55" s="2" t="inlineStr">
        <is>
          <t>4.33</t>
        </is>
      </c>
      <c r="J55" s="2" t="inlineStr">
        <is>
          <t>A confirmar</t>
        </is>
      </c>
      <c r="K55" s="3" t="inlineStr"/>
      <c r="L55" s="2" t="inlineStr"/>
      <c r="M55" s="3" t="inlineStr">
        <is>
          <t>Dia/momento: Lunes. Tiempo no relevado en el PDF - confirmar</t>
        </is>
      </c>
    </row>
    <row r="56">
      <c r="A56" s="2" t="inlineStr">
        <is>
          <t>Preparacion y Directivas de ST (RM)</t>
        </is>
      </c>
      <c r="B56" s="2" t="inlineStr">
        <is>
          <t>N/A</t>
        </is>
      </c>
      <c r="C56" s="3" t="inlineStr">
        <is>
          <t>Preparacion de equipos (ST)</t>
        </is>
      </c>
      <c r="D56" s="3" t="inlineStr">
        <is>
          <t>A completar</t>
        </is>
      </c>
      <c r="E56" s="4" t="inlineStr">
        <is>
          <t>Se hace</t>
        </is>
      </c>
      <c r="F56" s="2" t="inlineStr">
        <is>
          <t>RM</t>
        </is>
      </c>
      <c r="G56" s="2" t="inlineStr">
        <is>
          <t>Diario</t>
        </is>
      </c>
      <c r="H56" s="2" t="inlineStr">
        <is>
          <t>A confirmar</t>
        </is>
      </c>
      <c r="I56" s="2" t="inlineStr">
        <is>
          <t>22</t>
        </is>
      </c>
      <c r="J56" s="2" t="inlineStr">
        <is>
          <t>A confirmar</t>
        </is>
      </c>
      <c r="K56" s="3" t="inlineStr"/>
      <c r="L56" s="2" t="inlineStr"/>
      <c r="M56" s="3" t="inlineStr">
        <is>
          <t>Tiempo no relevado en el PDF - confirmar</t>
        </is>
      </c>
    </row>
    <row r="57">
      <c r="A57" s="2" t="inlineStr">
        <is>
          <t>Preparacion y Directivas de ST (RM)</t>
        </is>
      </c>
      <c r="B57" s="2" t="inlineStr">
        <is>
          <t>N/A</t>
        </is>
      </c>
      <c r="C57" s="3" t="inlineStr">
        <is>
          <t>Carga de directivas tecnicas</t>
        </is>
      </c>
      <c r="D57" s="3" t="inlineStr">
        <is>
          <t>A completar</t>
        </is>
      </c>
      <c r="E57" s="4" t="inlineStr">
        <is>
          <t>Se hace</t>
        </is>
      </c>
      <c r="F57" s="2" t="inlineStr">
        <is>
          <t>RM</t>
        </is>
      </c>
      <c r="G57" s="2" t="inlineStr">
        <is>
          <t>Semanal</t>
        </is>
      </c>
      <c r="H57" s="2" t="inlineStr">
        <is>
          <t>A confirmar</t>
        </is>
      </c>
      <c r="I57" s="2" t="inlineStr">
        <is>
          <t>4.33</t>
        </is>
      </c>
      <c r="J57" s="2" t="inlineStr">
        <is>
          <t>A confirmar</t>
        </is>
      </c>
      <c r="K57" s="3" t="inlineStr"/>
      <c r="L57" s="2" t="inlineStr"/>
      <c r="M57" s="3" t="inlineStr">
        <is>
          <t>Dia/momento: Lunes. Tiempo no relevado en el PDF - confirmar</t>
        </is>
      </c>
    </row>
    <row r="58">
      <c r="A58" s="2" t="inlineStr">
        <is>
          <t>Preparacion y Directivas de ST (RM)</t>
        </is>
      </c>
      <c r="B58" s="2" t="inlineStr">
        <is>
          <t>N/A</t>
        </is>
      </c>
      <c r="C58" s="3" t="inlineStr">
        <is>
          <t>Entrega de directiva a Administracion</t>
        </is>
      </c>
      <c r="D58" s="3" t="inlineStr">
        <is>
          <t>A completar</t>
        </is>
      </c>
      <c r="E58" s="4" t="inlineStr">
        <is>
          <t>Se hace</t>
        </is>
      </c>
      <c r="F58" s="2" t="inlineStr">
        <is>
          <t>RM</t>
        </is>
      </c>
      <c r="G58" s="2" t="inlineStr">
        <is>
          <t>Semanal</t>
        </is>
      </c>
      <c r="H58" s="2" t="inlineStr">
        <is>
          <t>15</t>
        </is>
      </c>
      <c r="I58" s="2" t="inlineStr">
        <is>
          <t>4.33</t>
        </is>
      </c>
      <c r="J58" s="2" t="inlineStr">
        <is>
          <t>No calcular aun</t>
        </is>
      </c>
      <c r="K58" s="3" t="inlineStr"/>
      <c r="L58" s="2" t="inlineStr"/>
      <c r="M58" s="3" t="inlineStr">
        <is>
          <t>Dia/momento: Miercoles. | Tiempo de origen (planilla Procesos Diarios) sin validar - no usar para calcular horas hasta confirmar con AB/RM</t>
        </is>
      </c>
    </row>
    <row r="59">
      <c r="A59" s="2" t="inlineStr">
        <is>
          <t>Preparacion y Directivas de ST (RM)</t>
        </is>
      </c>
      <c r="B59" s="2" t="inlineStr">
        <is>
          <t>N/A</t>
        </is>
      </c>
      <c r="C59" s="3" t="inlineStr">
        <is>
          <t>Control de buen estado receptoras IPR512 (R-11)</t>
        </is>
      </c>
      <c r="D59" s="3" t="inlineStr">
        <is>
          <t>A completar</t>
        </is>
      </c>
      <c r="E59" s="4" t="inlineStr">
        <is>
          <t>Se hace</t>
        </is>
      </c>
      <c r="F59" s="2" t="inlineStr">
        <is>
          <t>RM</t>
        </is>
      </c>
      <c r="G59" s="2" t="inlineStr">
        <is>
          <t>Diario</t>
        </is>
      </c>
      <c r="H59" s="2" t="inlineStr">
        <is>
          <t>A confirmar</t>
        </is>
      </c>
      <c r="I59" s="2" t="inlineStr">
        <is>
          <t>22</t>
        </is>
      </c>
      <c r="J59" s="2" t="inlineStr">
        <is>
          <t>A confirmar</t>
        </is>
      </c>
      <c r="K59" s="3" t="inlineStr"/>
      <c r="L59" s="2" t="inlineStr"/>
      <c r="M59" s="3" t="inlineStr">
        <is>
          <t>Tiempo no relevado en el PDF - confirmar</t>
        </is>
      </c>
    </row>
    <row r="60">
      <c r="A60" s="2" t="inlineStr">
        <is>
          <t>Preparacion y Directivas de ST (RM)</t>
        </is>
      </c>
      <c r="B60" s="2" t="inlineStr">
        <is>
          <t>N/A</t>
        </is>
      </c>
      <c r="C60" s="3" t="inlineStr">
        <is>
          <t>Mandar mensajes a AVATEC 02</t>
        </is>
      </c>
      <c r="D60" s="3" t="inlineStr">
        <is>
          <t>A completar</t>
        </is>
      </c>
      <c r="E60" s="4" t="inlineStr">
        <is>
          <t>Se hace</t>
        </is>
      </c>
      <c r="F60" s="2" t="inlineStr">
        <is>
          <t>RM</t>
        </is>
      </c>
      <c r="G60" s="2" t="inlineStr">
        <is>
          <t>Diario</t>
        </is>
      </c>
      <c r="H60" s="2" t="inlineStr">
        <is>
          <t>A confirmar</t>
        </is>
      </c>
      <c r="I60" s="2" t="inlineStr">
        <is>
          <t>22</t>
        </is>
      </c>
      <c r="J60" s="2" t="inlineStr">
        <is>
          <t>A confirmar</t>
        </is>
      </c>
      <c r="K60" s="3" t="inlineStr"/>
      <c r="L60" s="2" t="inlineStr"/>
      <c r="M60" s="3" t="inlineStr">
        <is>
          <t>Tiempo no relevado en el PDF - confirmar</t>
        </is>
      </c>
    </row>
    <row r="61">
      <c r="A61" s="2" t="inlineStr">
        <is>
          <t>Tareas Reactivas (Interrupciones)</t>
        </is>
      </c>
      <c r="B61" s="2" t="inlineStr">
        <is>
          <t>N/A</t>
        </is>
      </c>
      <c r="C61" s="3" t="inlineStr">
        <is>
          <t>Coordinar instalaciones NCS</t>
        </is>
      </c>
      <c r="D61" s="3" t="inlineStr">
        <is>
          <t>A completar</t>
        </is>
      </c>
      <c r="E61" s="4" t="inlineStr">
        <is>
          <t>Se hace</t>
        </is>
      </c>
      <c r="F61" s="2" t="inlineStr">
        <is>
          <t>AB</t>
        </is>
      </c>
      <c r="G61" s="2" t="inlineStr">
        <is>
          <t>Semanal</t>
        </is>
      </c>
      <c r="H61" s="2" t="inlineStr">
        <is>
          <t>5</t>
        </is>
      </c>
      <c r="I61" s="2" t="inlineStr">
        <is>
          <t>4.33</t>
        </is>
      </c>
      <c r="J61" s="2" t="inlineStr">
        <is>
          <t>No calcular aun</t>
        </is>
      </c>
      <c r="K61" s="3" t="inlineStr"/>
      <c r="L61" s="2" t="inlineStr"/>
      <c r="M61" s="3" t="inlineStr">
        <is>
          <t>Dia/momento: Interrupcion. | Tiempo de origen (planilla Procesos Diarios) sin validar - no usar para calcular horas hasta confirmar con AB/RM</t>
        </is>
      </c>
    </row>
    <row r="62">
      <c r="A62" s="2" t="inlineStr">
        <is>
          <t>Tareas Reactivas (Interrupciones)</t>
        </is>
      </c>
      <c r="B62" s="2" t="inlineStr">
        <is>
          <t>N/A</t>
        </is>
      </c>
      <c r="C62" s="3" t="inlineStr">
        <is>
          <t>Responder informes de Monitoreo</t>
        </is>
      </c>
      <c r="D62" s="3" t="inlineStr">
        <is>
          <t>A completar</t>
        </is>
      </c>
      <c r="E62" s="4" t="inlineStr">
        <is>
          <t>Se hace</t>
        </is>
      </c>
      <c r="F62" s="2" t="inlineStr">
        <is>
          <t>RM</t>
        </is>
      </c>
      <c r="G62" s="2" t="inlineStr">
        <is>
          <t>IntraDiario</t>
        </is>
      </c>
      <c r="H62" s="2" t="inlineStr">
        <is>
          <t>60</t>
        </is>
      </c>
      <c r="I62" s="2" t="inlineStr">
        <is>
          <t>22</t>
        </is>
      </c>
      <c r="J62" s="2" t="inlineStr">
        <is>
          <t>No calcular aun</t>
        </is>
      </c>
      <c r="K62" s="3" t="inlineStr"/>
      <c r="L62" s="2" t="inlineStr"/>
      <c r="M62" s="3" t="inlineStr">
        <is>
          <t>Dia/momento: Interrupcion. | Tiempo de origen (planilla Procesos Diarios) sin validar - no usar para calcular horas hasta confirmar con AB/RM</t>
        </is>
      </c>
    </row>
    <row r="63">
      <c r="A63" s="2" t="inlineStr">
        <is>
          <t>Tareas Reactivas (Interrupciones)</t>
        </is>
      </c>
      <c r="B63" s="2" t="inlineStr">
        <is>
          <t>N/A</t>
        </is>
      </c>
      <c r="C63" s="3" t="inlineStr">
        <is>
          <t>Responder informes de Pvillarreal (CM)</t>
        </is>
      </c>
      <c r="D63" s="3" t="inlineStr">
        <is>
          <t>A completar</t>
        </is>
      </c>
      <c r="E63" s="4" t="inlineStr">
        <is>
          <t>Se hace</t>
        </is>
      </c>
      <c r="F63" s="2" t="inlineStr">
        <is>
          <t>RM</t>
        </is>
      </c>
      <c r="G63" s="2" t="inlineStr">
        <is>
          <t>IntraDiario</t>
        </is>
      </c>
      <c r="H63" s="2" t="inlineStr">
        <is>
          <t>A confirmar</t>
        </is>
      </c>
      <c r="I63" s="2" t="inlineStr">
        <is>
          <t>22</t>
        </is>
      </c>
      <c r="J63" s="2" t="inlineStr">
        <is>
          <t>A confirmar</t>
        </is>
      </c>
      <c r="K63" s="3" t="inlineStr"/>
      <c r="L63" s="2" t="inlineStr"/>
      <c r="M63" s="3" t="inlineStr">
        <is>
          <t>Dia/momento: Interrupcion. Tiempo no relevado en el PDF - confirmar</t>
        </is>
      </c>
    </row>
    <row r="64">
      <c r="A64" s="2" t="inlineStr">
        <is>
          <t>Tareas Reactivas (Interrupciones)</t>
        </is>
      </c>
      <c r="B64" s="2" t="inlineStr">
        <is>
          <t>N/A</t>
        </is>
      </c>
      <c r="C64" s="3" t="inlineStr">
        <is>
          <t>Guardar y etiquetar stock que ingresa fuera de horario</t>
        </is>
      </c>
      <c r="D64" s="3" t="inlineStr">
        <is>
          <t>A completar</t>
        </is>
      </c>
      <c r="E64" s="4" t="inlineStr">
        <is>
          <t>Se hace</t>
        </is>
      </c>
      <c r="F64" s="2" t="inlineStr">
        <is>
          <t>RM</t>
        </is>
      </c>
      <c r="G64" s="2" t="inlineStr">
        <is>
          <t>Quincenal</t>
        </is>
      </c>
      <c r="H64" s="2" t="inlineStr">
        <is>
          <t>120</t>
        </is>
      </c>
      <c r="I64" s="2" t="inlineStr">
        <is>
          <t>2</t>
        </is>
      </c>
      <c r="J64" s="2" t="inlineStr">
        <is>
          <t>No calcular aun</t>
        </is>
      </c>
      <c r="K64" s="3" t="inlineStr"/>
      <c r="L64" s="2" t="inlineStr"/>
      <c r="M64" s="3" t="inlineStr">
        <is>
          <t>Dia/momento: Interrupcion. | Tiempo de origen (planilla Procesos Diarios) sin validar - no usar para calcular horas hasta confirmar con AB/RM</t>
        </is>
      </c>
    </row>
    <row r="65">
      <c r="A65" s="2" t="inlineStr">
        <is>
          <t>Tareas Reactivas (Interrupciones)</t>
        </is>
      </c>
      <c r="B65" s="2" t="inlineStr">
        <is>
          <t>N/A</t>
        </is>
      </c>
      <c r="C65" s="3" t="inlineStr">
        <is>
          <t>Recibir devolucion de instalacion (LM)</t>
        </is>
      </c>
      <c r="D65" s="3" t="inlineStr">
        <is>
          <t>A completar</t>
        </is>
      </c>
      <c r="E65" s="4" t="inlineStr">
        <is>
          <t>Se hace</t>
        </is>
      </c>
      <c r="F65" s="2" t="inlineStr">
        <is>
          <t>AB / RM</t>
        </is>
      </c>
      <c r="G65" s="2" t="inlineStr">
        <is>
          <t>Semanal</t>
        </is>
      </c>
      <c r="H65" s="2" t="inlineStr">
        <is>
          <t>20</t>
        </is>
      </c>
      <c r="I65" s="2" t="inlineStr">
        <is>
          <t>4.33</t>
        </is>
      </c>
      <c r="J65" s="2" t="inlineStr">
        <is>
          <t>No calcular aun</t>
        </is>
      </c>
      <c r="K65" s="3" t="inlineStr"/>
      <c r="L65" s="2" t="inlineStr"/>
      <c r="M65" s="3" t="inlineStr">
        <is>
          <t>Dia/momento: Lunes. Responsable en el catalogo figura como LOG (sin persona especifica asignada) | Tiempo de origen (planilla Procesos Diarios) sin validar - no usar para calcular horas hasta confirmar con AB/RM</t>
        </is>
      </c>
    </row>
    <row r="66">
      <c r="A66" s="2" t="inlineStr">
        <is>
          <t>Tareas Reactivas (Interrupciones)</t>
        </is>
      </c>
      <c r="B66" s="2" t="inlineStr">
        <is>
          <t>N/A</t>
        </is>
      </c>
      <c r="C66" s="3" t="inlineStr">
        <is>
          <t>Recibir devolucion de instalacion (AA)</t>
        </is>
      </c>
      <c r="D66" s="3" t="inlineStr">
        <is>
          <t>A completar</t>
        </is>
      </c>
      <c r="E66" s="4" t="inlineStr">
        <is>
          <t>Se hace</t>
        </is>
      </c>
      <c r="F66" s="2" t="inlineStr">
        <is>
          <t>AB / RM</t>
        </is>
      </c>
      <c r="G66" s="2" t="inlineStr">
        <is>
          <t>Semanal</t>
        </is>
      </c>
      <c r="H66" s="2" t="inlineStr">
        <is>
          <t>20</t>
        </is>
      </c>
      <c r="I66" s="2" t="inlineStr">
        <is>
          <t>4.33</t>
        </is>
      </c>
      <c r="J66" s="2" t="inlineStr">
        <is>
          <t>No calcular aun</t>
        </is>
      </c>
      <c r="K66" s="3" t="inlineStr"/>
      <c r="L66" s="2" t="inlineStr"/>
      <c r="M66" s="3" t="inlineStr">
        <is>
          <t>Dia/momento: Lunes. Responsable en el catalogo figura como LOG (sin persona especifica asignada) | Tiempo de origen (planilla Procesos Diarios) sin validar - no usar para calcular horas hasta confirmar con AB/RM</t>
        </is>
      </c>
    </row>
    <row r="67">
      <c r="A67" s="2" t="inlineStr">
        <is>
          <t>Tareas Reactivas (Interrupciones)</t>
        </is>
      </c>
      <c r="B67" s="2" t="inlineStr">
        <is>
          <t>N/A</t>
        </is>
      </c>
      <c r="C67" s="3" t="inlineStr">
        <is>
          <t>Atender telefono</t>
        </is>
      </c>
      <c r="D67" s="3" t="inlineStr">
        <is>
          <t>A completar</t>
        </is>
      </c>
      <c r="E67" s="4" t="inlineStr">
        <is>
          <t>Se hace</t>
        </is>
      </c>
      <c r="F67" s="2" t="inlineStr">
        <is>
          <t>AB / RM</t>
        </is>
      </c>
      <c r="G67" s="2" t="inlineStr">
        <is>
          <t>Diario</t>
        </is>
      </c>
      <c r="H67" s="2" t="inlineStr">
        <is>
          <t>A confirmar</t>
        </is>
      </c>
      <c r="I67" s="2" t="inlineStr">
        <is>
          <t>22</t>
        </is>
      </c>
      <c r="J67" s="2" t="inlineStr">
        <is>
          <t>A confirmar</t>
        </is>
      </c>
      <c r="K67" s="3" t="inlineStr"/>
      <c r="L67" s="2" t="inlineStr"/>
      <c r="M67" s="3" t="inlineStr">
        <is>
          <t>Dia/momento: Interrupcion. Responsable en el catalogo figura como LOG (sin persona especifica asignada)</t>
        </is>
      </c>
    </row>
    <row r="68">
      <c r="A68" s="2" t="inlineStr">
        <is>
          <t>Tareas Reactivas (Interrupciones)</t>
        </is>
      </c>
      <c r="B68" s="2" t="inlineStr">
        <is>
          <t>N/A</t>
        </is>
      </c>
      <c r="C68" s="3" t="inlineStr">
        <is>
          <t>Atender tecnico en sitio</t>
        </is>
      </c>
      <c r="D68" s="3" t="inlineStr">
        <is>
          <t>A completar</t>
        </is>
      </c>
      <c r="E68" s="4" t="inlineStr">
        <is>
          <t>Se hace</t>
        </is>
      </c>
      <c r="F68" s="2" t="inlineStr">
        <is>
          <t>AB / RM</t>
        </is>
      </c>
      <c r="G68" s="2" t="inlineStr">
        <is>
          <t>Diario</t>
        </is>
      </c>
      <c r="H68" s="2" t="inlineStr">
        <is>
          <t>A confirmar</t>
        </is>
      </c>
      <c r="I68" s="2" t="inlineStr">
        <is>
          <t>22</t>
        </is>
      </c>
      <c r="J68" s="2" t="inlineStr">
        <is>
          <t>A confirmar</t>
        </is>
      </c>
      <c r="K68" s="3" t="inlineStr"/>
      <c r="L68" s="2" t="inlineStr"/>
      <c r="M68" s="3" t="inlineStr">
        <is>
          <t>Dia/momento: Interrupcion. Responsable en el catalogo figura como LOG (sin persona especifica asignada)</t>
        </is>
      </c>
    </row>
    <row r="69">
      <c r="A69" s="2" t="inlineStr">
        <is>
          <t>Tareas Reactivas (Interrupciones)</t>
        </is>
      </c>
      <c r="B69" s="2" t="inlineStr">
        <is>
          <t>N/A</t>
        </is>
      </c>
      <c r="C69" s="3" t="inlineStr">
        <is>
          <t>Ingresar de forma remota por BabyWare</t>
        </is>
      </c>
      <c r="D69" s="3" t="inlineStr">
        <is>
          <t>A completar</t>
        </is>
      </c>
      <c r="E69" s="4" t="inlineStr">
        <is>
          <t>Se hace</t>
        </is>
      </c>
      <c r="F69" s="2" t="inlineStr">
        <is>
          <t>AB / RM</t>
        </is>
      </c>
      <c r="G69" s="2" t="inlineStr">
        <is>
          <t>IntraDiario</t>
        </is>
      </c>
      <c r="H69" s="2" t="inlineStr">
        <is>
          <t>A confirmar</t>
        </is>
      </c>
      <c r="I69" s="2" t="inlineStr">
        <is>
          <t>22</t>
        </is>
      </c>
      <c r="J69" s="2" t="inlineStr">
        <is>
          <t>A confirmar</t>
        </is>
      </c>
      <c r="K69" s="3" t="inlineStr"/>
      <c r="L69" s="2" t="inlineStr"/>
      <c r="M69" s="3" t="inlineStr">
        <is>
          <t>Dia/momento: Interrupcion. Responsable en el catalogo figura como LOG (sin persona especifica asignada)</t>
        </is>
      </c>
    </row>
    <row r="70">
      <c r="A70" s="2" t="inlineStr">
        <is>
          <t>Tareas Reactivas (Interrupciones)</t>
        </is>
      </c>
      <c r="B70" s="2" t="inlineStr">
        <is>
          <t>N/A</t>
        </is>
      </c>
      <c r="C70" s="3" t="inlineStr">
        <is>
          <t>Mandar mensajes a Chips Jasper</t>
        </is>
      </c>
      <c r="D70" s="3" t="inlineStr">
        <is>
          <t>A completar</t>
        </is>
      </c>
      <c r="E70" s="4" t="inlineStr">
        <is>
          <t>Se hace</t>
        </is>
      </c>
      <c r="F70" s="2" t="inlineStr">
        <is>
          <t>AB / RM</t>
        </is>
      </c>
      <c r="G70" s="2" t="inlineStr">
        <is>
          <t>IntraDiario</t>
        </is>
      </c>
      <c r="H70" s="2" t="inlineStr">
        <is>
          <t>A confirmar</t>
        </is>
      </c>
      <c r="I70" s="2" t="inlineStr">
        <is>
          <t>22</t>
        </is>
      </c>
      <c r="J70" s="2" t="inlineStr">
        <is>
          <t>A confirmar</t>
        </is>
      </c>
      <c r="K70" s="3" t="inlineStr"/>
      <c r="L70" s="2" t="inlineStr"/>
      <c r="M70" s="3" t="inlineStr">
        <is>
          <t>Dia/momento: Interrupcion. Responsable en el catalogo figura como LOG (sin persona especifica asignada)</t>
        </is>
      </c>
    </row>
    <row r="71">
      <c r="A71" s="2" t="inlineStr">
        <is>
          <t>Tareas Reactivas (Interrupciones)</t>
        </is>
      </c>
      <c r="B71" s="2" t="inlineStr">
        <is>
          <t>N/A</t>
        </is>
      </c>
      <c r="C71" s="3" t="inlineStr">
        <is>
          <t>Informar robo por Telegram</t>
        </is>
      </c>
      <c r="D71" s="3" t="inlineStr">
        <is>
          <t>A completar</t>
        </is>
      </c>
      <c r="E71" s="4" t="inlineStr">
        <is>
          <t>Se hace</t>
        </is>
      </c>
      <c r="F71" s="2" t="inlineStr">
        <is>
          <t>AB / RM</t>
        </is>
      </c>
      <c r="G71" s="2" t="inlineStr">
        <is>
          <t>IntraDiario</t>
        </is>
      </c>
      <c r="H71" s="2" t="inlineStr">
        <is>
          <t>A confirmar</t>
        </is>
      </c>
      <c r="I71" s="2" t="inlineStr">
        <is>
          <t>22</t>
        </is>
      </c>
      <c r="J71" s="2" t="inlineStr">
        <is>
          <t>A confirmar</t>
        </is>
      </c>
      <c r="K71" s="3" t="inlineStr"/>
      <c r="L71" s="2" t="inlineStr"/>
      <c r="M71" s="3" t="inlineStr">
        <is>
          <t>Dia/momento: Interrupcion. Responsable en el catalogo figura como LOG (sin persona especifica asignada)</t>
        </is>
      </c>
    </row>
    <row r="72">
      <c r="A72" s="2" t="inlineStr">
        <is>
          <t>Tareas Reactivas (Interrupciones)</t>
        </is>
      </c>
      <c r="B72" s="2" t="inlineStr">
        <is>
          <t>N/A</t>
        </is>
      </c>
      <c r="C72" s="3" t="inlineStr">
        <is>
          <t>Atender llamadas de clientes (celular)</t>
        </is>
      </c>
      <c r="D72" s="3" t="inlineStr">
        <is>
          <t>A completar</t>
        </is>
      </c>
      <c r="E72" s="4" t="inlineStr">
        <is>
          <t>Se hace</t>
        </is>
      </c>
      <c r="F72" s="2" t="inlineStr">
        <is>
          <t>AB / RM</t>
        </is>
      </c>
      <c r="G72" s="2" t="inlineStr">
        <is>
          <t>IntraDiario</t>
        </is>
      </c>
      <c r="H72" s="2" t="inlineStr">
        <is>
          <t>A confirmar</t>
        </is>
      </c>
      <c r="I72" s="2" t="inlineStr">
        <is>
          <t>22</t>
        </is>
      </c>
      <c r="J72" s="2" t="inlineStr">
        <is>
          <t>A confirmar</t>
        </is>
      </c>
      <c r="K72" s="3" t="inlineStr"/>
      <c r="L72" s="2" t="inlineStr"/>
      <c r="M72" s="3" t="inlineStr">
        <is>
          <t>Dia/momento: Interrupcion. Responsable en el catalogo figura como LOG (sin persona especifica asignada)</t>
        </is>
      </c>
    </row>
    <row r="73">
      <c r="A73" s="2" t="inlineStr">
        <is>
          <t>Tareas Reactivas (Interrupciones)</t>
        </is>
      </c>
      <c r="B73" s="2" t="inlineStr">
        <is>
          <t>N/A</t>
        </is>
      </c>
      <c r="C73" s="3" t="inlineStr">
        <is>
          <t>Carga de Servicio Tecnico (coordinacion)</t>
        </is>
      </c>
      <c r="D73" s="3" t="inlineStr">
        <is>
          <t>A completar</t>
        </is>
      </c>
      <c r="E73" s="4" t="inlineStr">
        <is>
          <t>Se hace</t>
        </is>
      </c>
      <c r="F73" s="2" t="inlineStr">
        <is>
          <t>AB / RM</t>
        </is>
      </c>
      <c r="G73" s="2" t="inlineStr">
        <is>
          <t>Diario</t>
        </is>
      </c>
      <c r="H73" s="2" t="inlineStr">
        <is>
          <t>A confirmar</t>
        </is>
      </c>
      <c r="I73" s="2" t="inlineStr">
        <is>
          <t>22</t>
        </is>
      </c>
      <c r="J73" s="2" t="inlineStr">
        <is>
          <t>A confirmar</t>
        </is>
      </c>
      <c r="K73" s="3" t="inlineStr"/>
      <c r="L73" s="2" t="inlineStr"/>
      <c r="M73" s="3" t="inlineStr">
        <is>
          <t>Responsable en el catalogo figura como LOG (sin persona especifica asignada)</t>
        </is>
      </c>
    </row>
    <row r="74">
      <c r="A74" s="2" t="inlineStr">
        <is>
          <t>Administracion General (AB)</t>
        </is>
      </c>
      <c r="B74" s="2" t="inlineStr">
        <is>
          <t>N/A</t>
        </is>
      </c>
      <c r="C74" s="3" t="inlineStr">
        <is>
          <t>Actualizacion de Datacenter / servidores</t>
        </is>
      </c>
      <c r="D74" s="3" t="inlineStr">
        <is>
          <t>A completar</t>
        </is>
      </c>
      <c r="E74" s="4" t="inlineStr">
        <is>
          <t>Se hace</t>
        </is>
      </c>
      <c r="F74" s="2" t="inlineStr">
        <is>
          <t>AB / RM</t>
        </is>
      </c>
      <c r="G74" s="2" t="inlineStr">
        <is>
          <t>Mensual</t>
        </is>
      </c>
      <c r="H74" s="2" t="inlineStr">
        <is>
          <t>A confirmar</t>
        </is>
      </c>
      <c r="I74" s="2" t="inlineStr">
        <is>
          <t>1</t>
        </is>
      </c>
      <c r="J74" s="2" t="inlineStr">
        <is>
          <t>A confirmar</t>
        </is>
      </c>
      <c r="K74" s="3" t="inlineStr"/>
      <c r="L74" s="2" t="inlineStr"/>
      <c r="M74" s="3" t="inlineStr">
        <is>
          <t>Dia/momento: Primer dia. Responsable en el catalogo figura como LOG (sin persona especifica asignada)</t>
        </is>
      </c>
    </row>
    <row r="75">
      <c r="A75" s="2" t="inlineStr">
        <is>
          <t>Proceso de Cargas (nombre tentativo)</t>
        </is>
      </c>
      <c r="B75" s="2" t="inlineStr">
        <is>
          <t>Planificacion y Carga de la Hoja de Procesos Diarios</t>
        </is>
      </c>
      <c r="C75" s="3" t="inlineStr">
        <is>
          <t>Rehacer hoja de Procesos Diarios</t>
        </is>
      </c>
      <c r="D75" s="3" t="inlineStr">
        <is>
          <t>Planificar como se va a trabajar en el mes: que dia/horario se dedica a cada tarea</t>
        </is>
      </c>
      <c r="E75" s="4" t="inlineStr">
        <is>
          <t>Se hace</t>
        </is>
      </c>
      <c r="F75" s="2" t="inlineStr">
        <is>
          <t>AB</t>
        </is>
      </c>
      <c r="G75" s="2" t="inlineStr">
        <is>
          <t>Mensual</t>
        </is>
      </c>
      <c r="H75" s="2" t="inlineStr">
        <is>
          <t>60</t>
        </is>
      </c>
      <c r="I75" s="2" t="inlineStr">
        <is>
          <t>1</t>
        </is>
      </c>
      <c r="J75" s="2" t="inlineStr">
        <is>
          <t>No calcular aun</t>
        </is>
      </c>
      <c r="K75" s="3" t="inlineStr"/>
      <c r="L75" s="2" t="inlineStr"/>
      <c r="M75" s="3" t="inlineStr">
        <is>
          <t>Dia/momento: Ultimo dia. Nombre de proceso tentativo (JL, 18/08/2026). | Tiempo de origen (planilla Procesos Diarios) sin validar - no usar para calcular horas hasta confirmar con AB/RM</t>
        </is>
      </c>
    </row>
    <row r="76">
      <c r="A76" s="2" t="inlineStr">
        <is>
          <t>Proceso de Cargas (nombre tentativo)</t>
        </is>
      </c>
      <c r="B76" s="2" t="inlineStr">
        <is>
          <t>Planificacion y Carga de la Hoja de Procesos Diarios</t>
        </is>
      </c>
      <c r="C76" s="3" t="inlineStr">
        <is>
          <t>Rehacer hoja de Procesos Diarios</t>
        </is>
      </c>
      <c r="D76" s="3" t="inlineStr">
        <is>
          <t>Planificar como se va a trabajar en el mes: que dia/horario se dedica a cada tarea</t>
        </is>
      </c>
      <c r="E76" s="4" t="inlineStr">
        <is>
          <t>Se hace</t>
        </is>
      </c>
      <c r="F76" s="2" t="inlineStr">
        <is>
          <t>RM</t>
        </is>
      </c>
      <c r="G76" s="2" t="inlineStr">
        <is>
          <t>Mensual</t>
        </is>
      </c>
      <c r="H76" s="2" t="inlineStr">
        <is>
          <t>A confirmar</t>
        </is>
      </c>
      <c r="I76" s="2" t="inlineStr">
        <is>
          <t>1</t>
        </is>
      </c>
      <c r="J76" s="2" t="inlineStr">
        <is>
          <t>A confirmar</t>
        </is>
      </c>
      <c r="K76" s="3" t="inlineStr"/>
      <c r="L76" s="2" t="inlineStr"/>
      <c r="M76" s="3" t="inlineStr">
        <is>
          <t>No aparece en el catalogo de RM - confirmar si RM tambien la hace o es solo de AB</t>
        </is>
      </c>
    </row>
    <row r="77">
      <c r="A77" s="2" t="inlineStr">
        <is>
          <t>Proceso de Cargas (nombre tentativo)</t>
        </is>
      </c>
      <c r="B77" s="2" t="inlineStr">
        <is>
          <t>Planificacion y Carga de la Hoja de Procesos Diarios</t>
        </is>
      </c>
      <c r="C77" s="3" t="inlineStr">
        <is>
          <t>Completar carga de Procesos Diarios</t>
        </is>
      </c>
      <c r="D77" s="3" t="inlineStr">
        <is>
          <t>Marcar en la planilla que la tarea del dia ya se hizo</t>
        </is>
      </c>
      <c r="E77" s="4" t="inlineStr">
        <is>
          <t>Se hace</t>
        </is>
      </c>
      <c r="F77" s="2" t="inlineStr">
        <is>
          <t>AB</t>
        </is>
      </c>
      <c r="G77" s="2" t="inlineStr">
        <is>
          <t>Diario</t>
        </is>
      </c>
      <c r="H77" s="2" t="inlineStr">
        <is>
          <t>20</t>
        </is>
      </c>
      <c r="I77" s="2" t="inlineStr">
        <is>
          <t>22</t>
        </is>
      </c>
      <c r="J77" s="2" t="inlineStr">
        <is>
          <t>No calcular aun</t>
        </is>
      </c>
      <c r="K77" s="3" t="inlineStr"/>
      <c r="L77" s="2" t="inlineStr"/>
      <c r="M77" s="3" t="inlineStr">
        <is>
          <t>Dia/momento: Primer dia. | Tiempo de origen (planilla Procesos Diarios) sin validar - no usar para calcular horas hasta confirmar con AB/RM</t>
        </is>
      </c>
    </row>
    <row r="78">
      <c r="A78" s="2" t="inlineStr">
        <is>
          <t>Proceso de Cargas (nombre tentativo)</t>
        </is>
      </c>
      <c r="B78" s="2" t="inlineStr">
        <is>
          <t>Planificacion y Carga de la Hoja de Procesos Diarios</t>
        </is>
      </c>
      <c r="C78" s="3" t="inlineStr">
        <is>
          <t>Completar carga de Procesos Diarios</t>
        </is>
      </c>
      <c r="D78" s="3" t="inlineStr">
        <is>
          <t>Marcar en la planilla que la tarea del dia ya se hizo</t>
        </is>
      </c>
      <c r="E78" s="4" t="inlineStr">
        <is>
          <t>Se hace</t>
        </is>
      </c>
      <c r="F78" s="2" t="inlineStr">
        <is>
          <t>RM</t>
        </is>
      </c>
      <c r="G78" s="2" t="inlineStr">
        <is>
          <t>Diario</t>
        </is>
      </c>
      <c r="H78" s="2" t="inlineStr">
        <is>
          <t>5</t>
        </is>
      </c>
      <c r="I78" s="2" t="inlineStr">
        <is>
          <t>22</t>
        </is>
      </c>
      <c r="J78" s="2" t="inlineStr">
        <is>
          <t>No calcular aun</t>
        </is>
      </c>
      <c r="K78" s="3" t="inlineStr"/>
      <c r="L78" s="2" t="inlineStr"/>
      <c r="M78" s="3" t="inlineStr">
        <is>
          <t>Dia/momento: Primer dia. Reubicada desde Rutina Administrativa Diaria (RM). | Tiempo de origen (planilla Procesos Diarios) sin validar - no usar para calcular horas hasta confirmar con AB/RM</t>
        </is>
      </c>
    </row>
    <row r="79">
      <c r="A79" s="2" t="inlineStr">
        <is>
          <t>Sin Proceso Asignado (a un costado)</t>
        </is>
      </c>
      <c r="B79" s="2" t="inlineStr">
        <is>
          <t>N/A</t>
        </is>
      </c>
      <c r="C79" s="3" t="inlineStr">
        <is>
          <t>Subir publicidad en WhatsApp</t>
        </is>
      </c>
      <c r="D79" s="3" t="inlineStr">
        <is>
          <t>A completar</t>
        </is>
      </c>
      <c r="E79" s="4" t="inlineStr">
        <is>
          <t>Se hace</t>
        </is>
      </c>
      <c r="F79" s="2" t="inlineStr">
        <is>
          <t>AB</t>
        </is>
      </c>
      <c r="G79" s="2" t="inlineStr">
        <is>
          <t>Diario</t>
        </is>
      </c>
      <c r="H79" s="2" t="inlineStr">
        <is>
          <t>5</t>
        </is>
      </c>
      <c r="I79" s="2" t="inlineStr">
        <is>
          <t>22</t>
        </is>
      </c>
      <c r="J79" s="2" t="inlineStr">
        <is>
          <t>No calcular aun</t>
        </is>
      </c>
      <c r="K79" s="3" t="inlineStr"/>
      <c r="L79" s="2" t="inlineStr"/>
      <c r="M79" s="3" t="inlineStr">
        <is>
          <t>Dia/momento: Primer dia. Tarea comun a todo el equipo de LOG - JL: 'no hay proceso, trabajar en los procesos mas adelante'. | Tiempo de origen (planilla Procesos Diarios) sin validar - no usar para calcular horas hasta confirmar con AB/RM</t>
        </is>
      </c>
    </row>
    <row r="80">
      <c r="A80" s="2" t="inlineStr">
        <is>
          <t>Sin Proceso Asignado (a un costado)</t>
        </is>
      </c>
      <c r="B80" s="2" t="inlineStr">
        <is>
          <t>N/A</t>
        </is>
      </c>
      <c r="C80" s="3" t="inlineStr">
        <is>
          <t>Subir publicidad en WhatsApp</t>
        </is>
      </c>
      <c r="D80" s="3" t="inlineStr">
        <is>
          <t>A completar</t>
        </is>
      </c>
      <c r="E80" s="4" t="inlineStr">
        <is>
          <t>Se hace</t>
        </is>
      </c>
      <c r="F80" s="2" t="inlineStr">
        <is>
          <t>RM</t>
        </is>
      </c>
      <c r="G80" s="2" t="inlineStr">
        <is>
          <t>Diario</t>
        </is>
      </c>
      <c r="H80" s="2" t="inlineStr">
        <is>
          <t>5</t>
        </is>
      </c>
      <c r="I80" s="2" t="inlineStr">
        <is>
          <t>22</t>
        </is>
      </c>
      <c r="J80" s="2" t="inlineStr">
        <is>
          <t>No calcular aun</t>
        </is>
      </c>
      <c r="K80" s="3" t="inlineStr"/>
      <c r="L80" s="2" t="inlineStr"/>
      <c r="M80" s="3" t="inlineStr">
        <is>
          <t>Dia/momento: Primer dia. Reubicada desde Rutina Administrativa Diaria (RM). | Tiempo de origen (planilla Procesos Diarios) sin validar - no usar para calcular horas hasta confirmar con AB/RM</t>
        </is>
      </c>
    </row>
    <row r="81">
      <c r="A81" s="2" t="inlineStr">
        <is>
          <t>Sin Proceso Asignado (a un costado)</t>
        </is>
      </c>
      <c r="B81" s="2" t="inlineStr">
        <is>
          <t>N/A</t>
        </is>
      </c>
      <c r="C81" s="3" t="inlineStr">
        <is>
          <t>Ordenar escritorio</t>
        </is>
      </c>
      <c r="D81" s="3" t="inlineStr">
        <is>
          <t>Dejar el escritorio en blanco para que otra persona pueda usarlo</t>
        </is>
      </c>
      <c r="E81" s="4" t="inlineStr">
        <is>
          <t>Se hace</t>
        </is>
      </c>
      <c r="F81" s="2" t="inlineStr">
        <is>
          <t>AB</t>
        </is>
      </c>
      <c r="G81" s="2" t="inlineStr">
        <is>
          <t>Diario</t>
        </is>
      </c>
      <c r="H81" s="2" t="inlineStr">
        <is>
          <t>10</t>
        </is>
      </c>
      <c r="I81" s="2" t="inlineStr">
        <is>
          <t>22</t>
        </is>
      </c>
      <c r="J81" s="2" t="inlineStr">
        <is>
          <t>No calcular aun</t>
        </is>
      </c>
      <c r="K81" s="3" t="inlineStr"/>
      <c r="L81" s="2" t="inlineStr"/>
      <c r="M81" s="3" t="inlineStr">
        <is>
          <t>Dia/momento: Primer dia. JL: deberian ser 15-20 min al final del dia; hoy complicado de cumplir. | Tiempo de origen (planilla Procesos Diarios) sin validar - no usar para calcular horas hasta confirmar con AB/RM</t>
        </is>
      </c>
    </row>
    <row r="82">
      <c r="A82" s="2" t="inlineStr">
        <is>
          <t>Sin Proceso Asignado (a un costado)</t>
        </is>
      </c>
      <c r="B82" s="2" t="inlineStr">
        <is>
          <t>N/A</t>
        </is>
      </c>
      <c r="C82" s="3" t="inlineStr">
        <is>
          <t>Ordenar escritorio</t>
        </is>
      </c>
      <c r="D82" s="3" t="inlineStr">
        <is>
          <t>Dejar el escritorio en blanco para que otra persona pueda usarlo</t>
        </is>
      </c>
      <c r="E82" s="4" t="inlineStr">
        <is>
          <t>Se hace</t>
        </is>
      </c>
      <c r="F82" s="2" t="inlineStr">
        <is>
          <t>RM</t>
        </is>
      </c>
      <c r="G82" s="2" t="inlineStr">
        <is>
          <t>Diario</t>
        </is>
      </c>
      <c r="H82" s="2" t="inlineStr">
        <is>
          <t>10</t>
        </is>
      </c>
      <c r="I82" s="2" t="inlineStr">
        <is>
          <t>22</t>
        </is>
      </c>
      <c r="J82" s="2" t="inlineStr">
        <is>
          <t>No calcular aun</t>
        </is>
      </c>
      <c r="K82" s="3" t="inlineStr"/>
      <c r="L82" s="2" t="inlineStr"/>
      <c r="M82" s="3" t="inlineStr">
        <is>
          <t>Dia/momento: Primer dia. Reubicada desde Rutina Administrativa Diaria (RM). | Tiempo de origen (planilla Procesos Diarios) sin validar - no usar para calcular horas hasta confirmar con AB/RM</t>
        </is>
      </c>
    </row>
    <row r="83">
      <c r="A83" s="2" t="inlineStr">
        <is>
          <t>Sin Proceso Asignado (a un costado)</t>
        </is>
      </c>
      <c r="B83" s="2" t="inlineStr">
        <is>
          <t>N/A</t>
        </is>
      </c>
      <c r="C83" s="3" t="inlineStr">
        <is>
          <t>Preparacion de equipos de instalacion (ST)</t>
        </is>
      </c>
      <c r="D83" s="3" t="inlineStr">
        <is>
          <t>A completar</t>
        </is>
      </c>
      <c r="E83" s="4" t="inlineStr">
        <is>
          <t>Se hace</t>
        </is>
      </c>
      <c r="F83" s="2" t="inlineStr">
        <is>
          <t>AB</t>
        </is>
      </c>
      <c r="G83" s="2" t="inlineStr">
        <is>
          <t>A Demanda</t>
        </is>
      </c>
      <c r="H83" s="2" t="inlineStr">
        <is>
          <t>30</t>
        </is>
      </c>
      <c r="I83" s="2" t="inlineStr">
        <is>
          <t>A confirmar</t>
        </is>
      </c>
      <c r="J83" s="2" t="inlineStr">
        <is>
          <t>A confirmar</t>
        </is>
      </c>
      <c r="K83" s="3" t="inlineStr"/>
      <c r="L83" s="2" t="inlineStr"/>
      <c r="M83" s="3" t="inlineStr">
        <is>
          <t>JL: 'no se en que proceso pondria esta tarea' - depende de cuanto venda Comercial, entre 0 y varias por dia</t>
        </is>
      </c>
    </row>
    <row r="84">
      <c r="A84" s="2" t="inlineStr">
        <is>
          <t>Chips</t>
        </is>
      </c>
      <c r="B84" s="2" t="inlineStr">
        <is>
          <t>Bloqueo y Desbloqueo - AXpro</t>
        </is>
      </c>
      <c r="C84" s="3" t="inlineStr">
        <is>
          <t>Bloqueo de equipos AXpro</t>
        </is>
      </c>
      <c r="D84" s="3" t="inlineStr">
        <is>
          <t>A completar</t>
        </is>
      </c>
      <c r="E84" s="4" t="inlineStr">
        <is>
          <t>Se hace</t>
        </is>
      </c>
      <c r="F84" s="2" t="inlineStr">
        <is>
          <t>AB</t>
        </is>
      </c>
      <c r="G84" s="2" t="inlineStr">
        <is>
          <t>Semanal</t>
        </is>
      </c>
      <c r="H84" s="2" t="inlineStr">
        <is>
          <t>30</t>
        </is>
      </c>
      <c r="I84" s="2" t="inlineStr">
        <is>
          <t>4.33</t>
        </is>
      </c>
      <c r="J84" s="2" t="inlineStr">
        <is>
          <t>No calcular aun</t>
        </is>
      </c>
      <c r="K84" s="3" t="inlineStr"/>
      <c r="L84" s="2" t="inlineStr"/>
      <c r="M84" s="3" t="inlineStr">
        <is>
          <t>Dia/momento: Jueves. Renombrado a 'Chips' el 18/08/2026 por correccion de JL: el jueves de AB es Chips, no 'Ingreso Remoto a Clientes'. JL confirmo (18/08/2026): es el mismo proceso Chips que 'Gestion de Chips (administrativo)' de RM (dos procedimientos: operativo AB / administrativo RM). Fusion pendiente de hacer en detalle mas adelante. | Tiempo de origen (planilla Procesos Diarios) sin validar - no usar para calcular horas hasta confirmar con AB/RM</t>
        </is>
      </c>
    </row>
    <row r="85">
      <c r="A85" s="2" t="inlineStr">
        <is>
          <t>Chips</t>
        </is>
      </c>
      <c r="B85" s="2" t="inlineStr">
        <is>
          <t>Bloqueo y Desbloqueo - Paradox (remoto)</t>
        </is>
      </c>
      <c r="C85" s="3" t="inlineStr">
        <is>
          <t>Bloqueo de equipos Paradox (PDX, remoto)</t>
        </is>
      </c>
      <c r="D85" s="3" t="inlineStr">
        <is>
          <t>A completar</t>
        </is>
      </c>
      <c r="E85" s="4" t="inlineStr">
        <is>
          <t>Se hace</t>
        </is>
      </c>
      <c r="F85" s="2" t="inlineStr">
        <is>
          <t>AB</t>
        </is>
      </c>
      <c r="G85" s="2" t="inlineStr">
        <is>
          <t>Semanal</t>
        </is>
      </c>
      <c r="H85" s="2" t="inlineStr">
        <is>
          <t>30</t>
        </is>
      </c>
      <c r="I85" s="2" t="inlineStr">
        <is>
          <t>4.33</t>
        </is>
      </c>
      <c r="J85" s="2" t="inlineStr">
        <is>
          <t>No calcular aun</t>
        </is>
      </c>
      <c r="K85" s="3" t="inlineStr"/>
      <c r="L85" s="2" t="inlineStr"/>
      <c r="M85" s="3" t="inlineStr">
        <is>
          <t>Dia/momento: Jueves. | Tiempo de origen (planilla Procesos Diarios) sin validar - no usar para calcular horas hasta confirmar con AB/RM</t>
        </is>
      </c>
    </row>
    <row r="86">
      <c r="A86" s="2" t="inlineStr">
        <is>
          <t>Chips</t>
        </is>
      </c>
      <c r="B86" s="2" t="inlineStr">
        <is>
          <t>Bloqueo y Desbloqueo - AXpro</t>
        </is>
      </c>
      <c r="C86" s="3" t="inlineStr">
        <is>
          <t>Desbloqueo de equipos AXpro</t>
        </is>
      </c>
      <c r="D86" s="3" t="inlineStr">
        <is>
          <t>A completar</t>
        </is>
      </c>
      <c r="E86" s="4" t="inlineStr">
        <is>
          <t>Se hace</t>
        </is>
      </c>
      <c r="F86" s="2" t="inlineStr">
        <is>
          <t>AB</t>
        </is>
      </c>
      <c r="G86" s="2" t="inlineStr">
        <is>
          <t>Semanal</t>
        </is>
      </c>
      <c r="H86" s="2" t="inlineStr">
        <is>
          <t>30</t>
        </is>
      </c>
      <c r="I86" s="2" t="inlineStr">
        <is>
          <t>4.33</t>
        </is>
      </c>
      <c r="J86" s="2" t="inlineStr">
        <is>
          <t>No calcular aun</t>
        </is>
      </c>
      <c r="K86" s="3" t="inlineStr"/>
      <c r="L86" s="2" t="inlineStr"/>
      <c r="M86" s="3" t="inlineStr">
        <is>
          <t>Dia/momento: Jueves. | Tiempo de origen (planilla Procesos Diarios) sin validar - no usar para calcular horas hasta confirmar con AB/RM</t>
        </is>
      </c>
    </row>
    <row r="87">
      <c r="A87" s="2" t="inlineStr">
        <is>
          <t>Chips</t>
        </is>
      </c>
      <c r="B87" s="2" t="inlineStr">
        <is>
          <t>Bloqueo y Desbloqueo - Paradox (remoto)</t>
        </is>
      </c>
      <c r="C87" s="3" t="inlineStr">
        <is>
          <t>Desbloqueo de equipos Paradox (PDX, remoto)</t>
        </is>
      </c>
      <c r="D87" s="3" t="inlineStr">
        <is>
          <t>A completar</t>
        </is>
      </c>
      <c r="E87" s="4" t="inlineStr">
        <is>
          <t>Se hace</t>
        </is>
      </c>
      <c r="F87" s="2" t="inlineStr">
        <is>
          <t>AB</t>
        </is>
      </c>
      <c r="G87" s="2" t="inlineStr">
        <is>
          <t>Semanal</t>
        </is>
      </c>
      <c r="H87" s="2" t="inlineStr">
        <is>
          <t>30</t>
        </is>
      </c>
      <c r="I87" s="2" t="inlineStr">
        <is>
          <t>4.33</t>
        </is>
      </c>
      <c r="J87" s="2" t="inlineStr">
        <is>
          <t>No calcular aun</t>
        </is>
      </c>
      <c r="K87" s="3" t="inlineStr"/>
      <c r="L87" s="2" t="inlineStr"/>
      <c r="M87" s="3" t="inlineStr">
        <is>
          <t>Dia/momento: Jueves. | Tiempo de origen (planilla Procesos Diarios) sin validar - no usar para calcular horas hasta confirmar con AB/RM</t>
        </is>
      </c>
    </row>
    <row r="88">
      <c r="A88" s="2" t="inlineStr">
        <is>
          <t>Falla de Tests</t>
        </is>
      </c>
      <c r="B88" s="2" t="inlineStr">
        <is>
          <t>Instructivo General (documento vinculado)</t>
        </is>
      </c>
      <c r="C88" s="3" t="inlineStr">
        <is>
          <t>Falla de Test - procedimiento general</t>
        </is>
      </c>
      <c r="D88" s="3" t="inlineStr">
        <is>
          <t>A completar</t>
        </is>
      </c>
      <c r="E88" s="4" t="inlineStr">
        <is>
          <t>Se hace</t>
        </is>
      </c>
      <c r="F88" s="2" t="inlineStr">
        <is>
          <t>AB</t>
        </is>
      </c>
      <c r="G88" s="2" t="inlineStr">
        <is>
          <t>Semanal</t>
        </is>
      </c>
      <c r="H88" s="2" t="inlineStr">
        <is>
          <t>30</t>
        </is>
      </c>
      <c r="I88" s="2" t="inlineStr">
        <is>
          <t>4.33</t>
        </is>
      </c>
      <c r="J88" s="2" t="inlineStr">
        <is>
          <t>No calcular aun</t>
        </is>
      </c>
      <c r="K88" s="3" t="inlineStr"/>
      <c r="L88" s="2" t="inlineStr"/>
      <c r="M88" s="3" t="inlineStr">
        <is>
          <t>Dia/momento: Lunes. Tiene instructivo en Drive vinculado. | Tiempo de origen (planilla Procesos Diarios) sin validar - no usar para calcular horas hasta confirmar con AB/RM</t>
        </is>
      </c>
    </row>
    <row r="89">
      <c r="A89" s="2" t="inlineStr">
        <is>
          <t>Falla de Tests</t>
        </is>
      </c>
      <c r="B89" s="2" t="inlineStr">
        <is>
          <t>Envio de Mail</t>
        </is>
      </c>
      <c r="C89" s="3" t="inlineStr">
        <is>
          <t>Pendiente de cargar (gap)</t>
        </is>
      </c>
      <c r="D89" s="3" t="inlineStr">
        <is>
          <t>A completar</t>
        </is>
      </c>
      <c r="E89" s="5" t="inlineStr">
        <is>
          <t>Debería hacerse (falta)</t>
        </is>
      </c>
      <c r="F89" s="2" t="inlineStr">
        <is>
          <t>AB</t>
        </is>
      </c>
      <c r="G89" s="2" t="inlineStr">
        <is>
          <t>A confirmar</t>
        </is>
      </c>
      <c r="H89" s="2" t="inlineStr">
        <is>
          <t>A confirmar</t>
        </is>
      </c>
      <c r="I89" s="2" t="inlineStr">
        <is>
          <t>A confirmar</t>
        </is>
      </c>
      <c r="J89" s="2" t="inlineStr">
        <is>
          <t>A confirmar</t>
        </is>
      </c>
      <c r="K89" s="3" t="inlineStr">
        <is>
          <t>Procedimiento identificado por JL, sin tarea propia cargada todavia</t>
        </is>
      </c>
      <c r="L89" s="2" t="inlineStr">
        <is>
          <t>Alta</t>
        </is>
      </c>
      <c r="M89" s="3" t="inlineStr">
        <is>
          <t>JL (18/08/2026): dentro de Falla de Test hay que abrir este procedimiento por separado</t>
        </is>
      </c>
    </row>
    <row r="90">
      <c r="A90" s="2" t="inlineStr">
        <is>
          <t>Falla de Tests</t>
        </is>
      </c>
      <c r="B90" s="2" t="inlineStr">
        <is>
          <t>Llamado a Clientes</t>
        </is>
      </c>
      <c r="C90" s="3" t="inlineStr">
        <is>
          <t>Pendiente de cargar (gap)</t>
        </is>
      </c>
      <c r="D90" s="3" t="inlineStr">
        <is>
          <t>A completar</t>
        </is>
      </c>
      <c r="E90" s="5" t="inlineStr">
        <is>
          <t>Debería hacerse (falta)</t>
        </is>
      </c>
      <c r="F90" s="2" t="inlineStr">
        <is>
          <t>AB</t>
        </is>
      </c>
      <c r="G90" s="2" t="inlineStr">
        <is>
          <t>A confirmar</t>
        </is>
      </c>
      <c r="H90" s="2" t="inlineStr">
        <is>
          <t>A confirmar</t>
        </is>
      </c>
      <c r="I90" s="2" t="inlineStr">
        <is>
          <t>A confirmar</t>
        </is>
      </c>
      <c r="J90" s="2" t="inlineStr">
        <is>
          <t>A confirmar</t>
        </is>
      </c>
      <c r="K90" s="3" t="inlineStr">
        <is>
          <t>Procedimiento identificado por JL, sin tarea propia cargada todavia</t>
        </is>
      </c>
      <c r="L90" s="2" t="inlineStr">
        <is>
          <t>Alta</t>
        </is>
      </c>
      <c r="M90" s="3" t="inlineStr">
        <is>
          <t>JL (18/08/2026): dentro de Falla de Test hay que abrir este procedimiento por separado</t>
        </is>
      </c>
    </row>
    <row r="91">
      <c r="A91" s="2" t="inlineStr">
        <is>
          <t>Falla de Tests</t>
        </is>
      </c>
      <c r="B91" s="2" t="inlineStr">
        <is>
          <t>Coordinacion de Servicios Tecnicos</t>
        </is>
      </c>
      <c r="C91" s="3" t="inlineStr">
        <is>
          <t>Falla de Test - Coordinacion con ST</t>
        </is>
      </c>
      <c r="D91" s="3" t="inlineStr">
        <is>
          <t>A completar</t>
        </is>
      </c>
      <c r="E91" s="4" t="inlineStr">
        <is>
          <t>Se hace</t>
        </is>
      </c>
      <c r="F91" s="2" t="inlineStr">
        <is>
          <t>AB</t>
        </is>
      </c>
      <c r="G91" s="2" t="inlineStr">
        <is>
          <t>Diario</t>
        </is>
      </c>
      <c r="H91" s="2" t="inlineStr">
        <is>
          <t>5</t>
        </is>
      </c>
      <c r="I91" s="2" t="inlineStr">
        <is>
          <t>22</t>
        </is>
      </c>
      <c r="J91" s="2" t="inlineStr">
        <is>
          <t>No calcular aun</t>
        </is>
      </c>
      <c r="K91" s="3" t="inlineStr"/>
      <c r="L91" s="2" t="inlineStr"/>
      <c r="M91" s="3" t="inlineStr">
        <is>
          <t>Dia/momento: Primer dia. | Tiempo de origen (planilla Procesos Diarios) sin validar - no usar para calcular horas hasta confirmar con AB/RM</t>
        </is>
      </c>
    </row>
    <row r="92">
      <c r="A92" s="2" t="inlineStr">
        <is>
          <t>Falla de Tests</t>
        </is>
      </c>
      <c r="B92" s="2" t="inlineStr">
        <is>
          <t>Seguimiento de Servicios Tecnicos</t>
        </is>
      </c>
      <c r="C92" s="3" t="inlineStr">
        <is>
          <t>Pendiente de cargar (gap)</t>
        </is>
      </c>
      <c r="D92" s="3" t="inlineStr">
        <is>
          <t>A completar</t>
        </is>
      </c>
      <c r="E92" s="5" t="inlineStr">
        <is>
          <t>Debería hacerse (falta)</t>
        </is>
      </c>
      <c r="F92" s="2" t="inlineStr">
        <is>
          <t>AB</t>
        </is>
      </c>
      <c r="G92" s="2" t="inlineStr">
        <is>
          <t>A confirmar</t>
        </is>
      </c>
      <c r="H92" s="2" t="inlineStr">
        <is>
          <t>A confirmar</t>
        </is>
      </c>
      <c r="I92" s="2" t="inlineStr">
        <is>
          <t>A confirmar</t>
        </is>
      </c>
      <c r="J92" s="2" t="inlineStr">
        <is>
          <t>A confirmar</t>
        </is>
      </c>
      <c r="K92" s="3" t="inlineStr">
        <is>
          <t>Procedimiento identificado por JL, sin tarea propia cargada todavia</t>
        </is>
      </c>
      <c r="L92" s="2" t="inlineStr">
        <is>
          <t>Alta</t>
        </is>
      </c>
      <c r="M92" s="3" t="inlineStr">
        <is>
          <t>JL (18/08/2026): distinto de 'coordinar' - es el seguimiento posterior</t>
        </is>
      </c>
    </row>
    <row r="93">
      <c r="A93" s="2" t="inlineStr">
        <is>
          <t>Falla de Tests</t>
        </is>
      </c>
      <c r="B93" s="2" t="inlineStr">
        <is>
          <t>Analisis</t>
        </is>
      </c>
      <c r="C93" s="3" t="inlineStr">
        <is>
          <t>Falla de Test - Analisis</t>
        </is>
      </c>
      <c r="D93" s="3" t="inlineStr">
        <is>
          <t>A completar</t>
        </is>
      </c>
      <c r="E93" s="4" t="inlineStr">
        <is>
          <t>Se hace</t>
        </is>
      </c>
      <c r="F93" s="2" t="inlineStr">
        <is>
          <t>AB</t>
        </is>
      </c>
      <c r="G93" s="2" t="inlineStr">
        <is>
          <t>Diario</t>
        </is>
      </c>
      <c r="H93" s="2" t="inlineStr">
        <is>
          <t>60</t>
        </is>
      </c>
      <c r="I93" s="2" t="inlineStr">
        <is>
          <t>22</t>
        </is>
      </c>
      <c r="J93" s="2" t="inlineStr">
        <is>
          <t>No calcular aun</t>
        </is>
      </c>
      <c r="K93" s="3" t="inlineStr"/>
      <c r="L93" s="2" t="inlineStr"/>
      <c r="M93" s="3" t="inlineStr">
        <is>
          <t>Dia/momento: Primer dia. | Tiempo de origen (planilla Procesos Diarios) sin validar - no usar para calcular horas hasta confirmar con AB/RM</t>
        </is>
      </c>
    </row>
    <row r="94">
      <c r="A94" s="2" t="inlineStr">
        <is>
          <t>Offline</t>
        </is>
      </c>
      <c r="B94" s="2" t="inlineStr">
        <is>
          <t>Instructivo General (documento vinculado)</t>
        </is>
      </c>
      <c r="C94" s="3" t="inlineStr">
        <is>
          <t>Offline - procedimiento general</t>
        </is>
      </c>
      <c r="D94" s="3" t="inlineStr">
        <is>
          <t>A completar</t>
        </is>
      </c>
      <c r="E94" s="4" t="inlineStr">
        <is>
          <t>Se hace</t>
        </is>
      </c>
      <c r="F94" s="2" t="inlineStr">
        <is>
          <t>AB</t>
        </is>
      </c>
      <c r="G94" s="2" t="inlineStr">
        <is>
          <t>Semanal</t>
        </is>
      </c>
      <c r="H94" s="2" t="inlineStr">
        <is>
          <t>A confirmar</t>
        </is>
      </c>
      <c r="I94" s="2" t="inlineStr">
        <is>
          <t>4.33</t>
        </is>
      </c>
      <c r="J94" s="2" t="inlineStr">
        <is>
          <t>A confirmar</t>
        </is>
      </c>
      <c r="K94" s="3" t="inlineStr"/>
      <c r="L94" s="2" t="inlineStr"/>
      <c r="M94" s="3" t="inlineStr">
        <is>
          <t>Tiene instructivo en Drive vinculado (Google Doc)</t>
        </is>
      </c>
    </row>
    <row r="95">
      <c r="A95" s="2" t="inlineStr">
        <is>
          <t>Offline</t>
        </is>
      </c>
      <c r="B95" s="2" t="inlineStr">
        <is>
          <t>Offline de las 4</t>
        </is>
      </c>
      <c r="C95" s="3" t="inlineStr">
        <is>
          <t>Pendiente de cargar (gap): informe, analisis, coordinacion ST, mail semanal, objetivo</t>
        </is>
      </c>
      <c r="D95" s="3" t="inlineStr">
        <is>
          <t>A completar</t>
        </is>
      </c>
      <c r="E95" s="5" t="inlineStr">
        <is>
          <t>Debería hacerse (falta)</t>
        </is>
      </c>
      <c r="F95" s="2" t="inlineStr">
        <is>
          <t>AB</t>
        </is>
      </c>
      <c r="G95" s="2" t="inlineStr">
        <is>
          <t>A confirmar</t>
        </is>
      </c>
      <c r="H95" s="2" t="inlineStr">
        <is>
          <t>A confirmar</t>
        </is>
      </c>
      <c r="I95" s="2" t="inlineStr">
        <is>
          <t>A confirmar</t>
        </is>
      </c>
      <c r="J95" s="2" t="inlineStr">
        <is>
          <t>A confirmar</t>
        </is>
      </c>
      <c r="K95" s="3" t="inlineStr">
        <is>
          <t>Procedimiento identificado por JL, sin tareas propias cargadas todavia</t>
        </is>
      </c>
      <c r="L95" s="2" t="inlineStr">
        <is>
          <t>Alta</t>
        </is>
      </c>
      <c r="M95" s="3" t="inlineStr">
        <is>
          <t>JL (18/08/2026): cada horario de offline tiene su propio informe/analisis/coordinacion/mail/objetivo</t>
        </is>
      </c>
    </row>
    <row r="96">
      <c r="A96" s="2" t="inlineStr">
        <is>
          <t>Offline</t>
        </is>
      </c>
      <c r="B96" s="2" t="inlineStr">
        <is>
          <t>Offline de las 7</t>
        </is>
      </c>
      <c r="C96" s="3" t="inlineStr">
        <is>
          <t>Pendiente de cargar (gap): informe, analisis, coordinacion ST, mail semanal, objetivo</t>
        </is>
      </c>
      <c r="D96" s="3" t="inlineStr">
        <is>
          <t>A completar</t>
        </is>
      </c>
      <c r="E96" s="5" t="inlineStr">
        <is>
          <t>Debería hacerse (falta)</t>
        </is>
      </c>
      <c r="F96" s="2" t="inlineStr">
        <is>
          <t>AB</t>
        </is>
      </c>
      <c r="G96" s="2" t="inlineStr">
        <is>
          <t>A confirmar</t>
        </is>
      </c>
      <c r="H96" s="2" t="inlineStr">
        <is>
          <t>A confirmar</t>
        </is>
      </c>
      <c r="I96" s="2" t="inlineStr">
        <is>
          <t>A confirmar</t>
        </is>
      </c>
      <c r="J96" s="2" t="inlineStr">
        <is>
          <t>A confirmar</t>
        </is>
      </c>
      <c r="K96" s="3" t="inlineStr">
        <is>
          <t>Procedimiento identificado por JL, sin tareas propias cargadas todavia</t>
        </is>
      </c>
      <c r="L96" s="2" t="inlineStr">
        <is>
          <t>Alta</t>
        </is>
      </c>
      <c r="M96" s="3" t="inlineStr">
        <is>
          <t>JL (18/08/2026)</t>
        </is>
      </c>
    </row>
    <row r="97">
      <c r="A97" s="2" t="inlineStr">
        <is>
          <t>Offline</t>
        </is>
      </c>
      <c r="B97" s="2" t="inlineStr">
        <is>
          <t>Offline de las 11</t>
        </is>
      </c>
      <c r="C97" s="3" t="inlineStr">
        <is>
          <t>Pendiente de cargar (gap): informe, analisis, coordinacion ST, mail semanal, objetivo</t>
        </is>
      </c>
      <c r="D97" s="3" t="inlineStr">
        <is>
          <t>A completar</t>
        </is>
      </c>
      <c r="E97" s="5" t="inlineStr">
        <is>
          <t>Debería hacerse (falta)</t>
        </is>
      </c>
      <c r="F97" s="2" t="inlineStr">
        <is>
          <t>AB</t>
        </is>
      </c>
      <c r="G97" s="2" t="inlineStr">
        <is>
          <t>A confirmar</t>
        </is>
      </c>
      <c r="H97" s="2" t="inlineStr">
        <is>
          <t>A confirmar</t>
        </is>
      </c>
      <c r="I97" s="2" t="inlineStr">
        <is>
          <t>A confirmar</t>
        </is>
      </c>
      <c r="J97" s="2" t="inlineStr">
        <is>
          <t>A confirmar</t>
        </is>
      </c>
      <c r="K97" s="3" t="inlineStr">
        <is>
          <t>Procedimiento identificado por JL, sin tareas propias cargadas todavia</t>
        </is>
      </c>
      <c r="L97" s="2" t="inlineStr">
        <is>
          <t>Alta</t>
        </is>
      </c>
      <c r="M97" s="3" t="inlineStr">
        <is>
          <t>JL (18/08/2026)</t>
        </is>
      </c>
    </row>
    <row r="98">
      <c r="A98" s="2" t="inlineStr">
        <is>
          <t>Offline</t>
        </is>
      </c>
      <c r="B98" s="2" t="inlineStr">
        <is>
          <t>Horario sin asignar (a confirmar cual de los 3)</t>
        </is>
      </c>
      <c r="C98" s="3" t="inlineStr">
        <is>
          <t>Offline - Analisis general</t>
        </is>
      </c>
      <c r="D98" s="3" t="inlineStr">
        <is>
          <t>A completar</t>
        </is>
      </c>
      <c r="E98" s="4" t="inlineStr">
        <is>
          <t>Se hace</t>
        </is>
      </c>
      <c r="F98" s="2" t="inlineStr">
        <is>
          <t>AB</t>
        </is>
      </c>
      <c r="G98" s="2" t="inlineStr">
        <is>
          <t>Diario</t>
        </is>
      </c>
      <c r="H98" s="2" t="inlineStr">
        <is>
          <t>30</t>
        </is>
      </c>
      <c r="I98" s="2" t="inlineStr">
        <is>
          <t>22</t>
        </is>
      </c>
      <c r="J98" s="2" t="inlineStr">
        <is>
          <t>No calcular aun</t>
        </is>
      </c>
      <c r="K98" s="3" t="inlineStr"/>
      <c r="L98" s="2" t="inlineStr"/>
      <c r="M98" s="3" t="inlineStr">
        <is>
          <t>Dia/momento: Primer dia. Falta confirmar a cual horario (4, 7 u 11) corresponde. | Tiempo de origen (planilla Procesos Diarios) sin validar - no usar para calcular horas hasta confirmar con AB/RM</t>
        </is>
      </c>
    </row>
    <row r="99">
      <c r="A99" s="2" t="inlineStr">
        <is>
          <t>Offline</t>
        </is>
      </c>
      <c r="B99" s="2" t="inlineStr">
        <is>
          <t>Horario sin asignar (a confirmar cual de los 3)</t>
        </is>
      </c>
      <c r="C99" s="3" t="inlineStr">
        <is>
          <t>Offline - Coordinacion con ST</t>
        </is>
      </c>
      <c r="D99" s="3" t="inlineStr">
        <is>
          <t>A completar</t>
        </is>
      </c>
      <c r="E99" s="4" t="inlineStr">
        <is>
          <t>Se hace</t>
        </is>
      </c>
      <c r="F99" s="2" t="inlineStr">
        <is>
          <t>AB</t>
        </is>
      </c>
      <c r="G99" s="2" t="inlineStr">
        <is>
          <t>Diario</t>
        </is>
      </c>
      <c r="H99" s="2" t="inlineStr">
        <is>
          <t>5</t>
        </is>
      </c>
      <c r="I99" s="2" t="inlineStr">
        <is>
          <t>22</t>
        </is>
      </c>
      <c r="J99" s="2" t="inlineStr">
        <is>
          <t>No calcular aun</t>
        </is>
      </c>
      <c r="K99" s="3" t="inlineStr"/>
      <c r="L99" s="2" t="inlineStr"/>
      <c r="M99" s="3" t="inlineStr">
        <is>
          <t>Dia/momento: Primer dia. Falta confirmar a cual horario (4, 7 u 11) corresponde. | Tiempo de origen (planilla Procesos Diarios) sin validar - no usar para calcular horas hasta confirmar con AB/RM</t>
        </is>
      </c>
    </row>
    <row r="100">
      <c r="A100" s="2" t="inlineStr">
        <is>
          <t>Redes</t>
        </is>
      </c>
      <c r="B100" s="2" t="inlineStr">
        <is>
          <t>Telefonia IP</t>
        </is>
      </c>
      <c r="C100" s="3" t="inlineStr">
        <is>
          <t>Pendiente de desglose</t>
        </is>
      </c>
      <c r="D100" s="3" t="inlineStr">
        <is>
          <t>A completar</t>
        </is>
      </c>
      <c r="E100" s="4" t="inlineStr">
        <is>
          <t>Se hace</t>
        </is>
      </c>
      <c r="F100" s="2" t="inlineStr">
        <is>
          <t>AB (Ariel Bazan)</t>
        </is>
      </c>
      <c r="G100" s="2" t="inlineStr">
        <is>
          <t>A confirmar</t>
        </is>
      </c>
      <c r="H100" s="2" t="inlineStr">
        <is>
          <t>A confirmar</t>
        </is>
      </c>
      <c r="I100" s="2" t="inlineStr">
        <is>
          <t>A confirmar</t>
        </is>
      </c>
      <c r="J100" s="2" t="inlineStr">
        <is>
          <t>No calcular aun</t>
        </is>
      </c>
      <c r="K100" s="3" t="inlineStr"/>
      <c r="L100" s="2" t="inlineStr">
        <is>
          <t>Alta</t>
        </is>
      </c>
      <c r="M100" s="3" t="inlineStr">
        <is>
          <t>Procedimiento confirmado por JL (12/08/2026); sin tareas cargadas todavia</t>
        </is>
      </c>
    </row>
    <row r="101">
      <c r="A101" s="2" t="inlineStr">
        <is>
          <t>Redes</t>
        </is>
      </c>
      <c r="B101" s="2" t="inlineStr">
        <is>
          <t>Camaras IP</t>
        </is>
      </c>
      <c r="C101" s="3" t="inlineStr">
        <is>
          <t>Horario de Camaras</t>
        </is>
      </c>
      <c r="D101" s="3" t="inlineStr">
        <is>
          <t>A completar</t>
        </is>
      </c>
      <c r="E101" s="4" t="inlineStr">
        <is>
          <t>Se hace</t>
        </is>
      </c>
      <c r="F101" s="2" t="inlineStr">
        <is>
          <t>AB (Ariel Bazan)</t>
        </is>
      </c>
      <c r="G101" s="2" t="inlineStr">
        <is>
          <t>Semanal</t>
        </is>
      </c>
      <c r="H101" s="2" t="inlineStr">
        <is>
          <t>5</t>
        </is>
      </c>
      <c r="I101" s="2" t="inlineStr">
        <is>
          <t>4.33</t>
        </is>
      </c>
      <c r="J101" s="2" t="inlineStr">
        <is>
          <t>No calcular aun</t>
        </is>
      </c>
      <c r="K101" s="3" t="inlineStr"/>
      <c r="L101" s="2" t="inlineStr"/>
      <c r="M101" s="3" t="inlineStr">
        <is>
          <t>Dia/momento: Viernes (segun catalogo). | Tiempo de origen (planilla Procesos Diarios) sin validar - no usar para calcular horas hasta confirmar con AB/RM</t>
        </is>
      </c>
    </row>
    <row r="102">
      <c r="A102" s="2" t="inlineStr">
        <is>
          <t>Redes</t>
        </is>
      </c>
      <c r="B102" s="2" t="inlineStr">
        <is>
          <t>Computacion (todas las PCs)</t>
        </is>
      </c>
      <c r="C102" s="3" t="inlineStr">
        <is>
          <t>Norton (antivirus / seguridad)</t>
        </is>
      </c>
      <c r="D102" s="3" t="inlineStr">
        <is>
          <t>A completar</t>
        </is>
      </c>
      <c r="E102" s="4" t="inlineStr">
        <is>
          <t>Se hace</t>
        </is>
      </c>
      <c r="F102" s="2" t="inlineStr">
        <is>
          <t>AB (Ariel Bazan)</t>
        </is>
      </c>
      <c r="G102" s="2" t="inlineStr">
        <is>
          <t>Trimestral</t>
        </is>
      </c>
      <c r="H102" s="2" t="inlineStr">
        <is>
          <t>240</t>
        </is>
      </c>
      <c r="I102" s="2" t="inlineStr">
        <is>
          <t>0.33</t>
        </is>
      </c>
      <c r="J102" s="2" t="inlineStr">
        <is>
          <t>No calcular aun</t>
        </is>
      </c>
      <c r="K102" s="3" t="inlineStr"/>
      <c r="L102" s="2" t="inlineStr"/>
      <c r="M102" s="3" t="inlineStr">
        <is>
          <t>Dia/momento: Ene/Abr/Jul/Oct. Reubicada desde 'Administracion General (AB)'. JL sugiere separar a futuro 'Seguridad' (Norton) de 'Redes/IP' dentro de Computacion. | Tiempo de origen (planilla Procesos Diarios) sin validar - no usar para calcular horas hasta confirmar con AB/RM</t>
        </is>
      </c>
    </row>
    <row r="103">
      <c r="A103" s="2" t="inlineStr">
        <is>
          <t>Redes</t>
        </is>
      </c>
      <c r="B103" s="2" t="inlineStr">
        <is>
          <t>Impresoras IP</t>
        </is>
      </c>
      <c r="C103" s="3" t="inlineStr">
        <is>
          <t>Pendiente de desglose</t>
        </is>
      </c>
      <c r="D103" s="3" t="inlineStr">
        <is>
          <t>A completar</t>
        </is>
      </c>
      <c r="E103" s="4" t="inlineStr">
        <is>
          <t>Se hace</t>
        </is>
      </c>
      <c r="F103" s="2" t="inlineStr">
        <is>
          <t>AB (Ariel Bazan)</t>
        </is>
      </c>
      <c r="G103" s="2" t="inlineStr">
        <is>
          <t>A confirmar</t>
        </is>
      </c>
      <c r="H103" s="2" t="inlineStr">
        <is>
          <t>A confirmar</t>
        </is>
      </c>
      <c r="I103" s="2" t="inlineStr">
        <is>
          <t>A confirmar</t>
        </is>
      </c>
      <c r="J103" s="2" t="inlineStr">
        <is>
          <t>No calcular aun</t>
        </is>
      </c>
      <c r="K103" s="3" t="inlineStr"/>
      <c r="L103" s="2" t="inlineStr">
        <is>
          <t>Alta</t>
        </is>
      </c>
      <c r="M103" s="3" t="inlineStr">
        <is>
          <t>Procedimiento confirmado por JL (12/08/2026); sin tareas cargadas todavia</t>
        </is>
      </c>
    </row>
    <row r="104">
      <c r="A104" s="2" t="inlineStr">
        <is>
          <t>Stock</t>
        </is>
      </c>
      <c r="B104" s="2" t="inlineStr">
        <is>
          <t>Recepcion y Control de Stock Entrante</t>
        </is>
      </c>
      <c r="C104" s="3" t="inlineStr">
        <is>
          <t>Conteo de stock recibido</t>
        </is>
      </c>
      <c r="D104" s="3" t="inlineStr">
        <is>
          <t>A completar</t>
        </is>
      </c>
      <c r="E104" s="4" t="inlineStr">
        <is>
          <t>Se hace</t>
        </is>
      </c>
      <c r="F104" s="2" t="inlineStr">
        <is>
          <t>AB</t>
        </is>
      </c>
      <c r="G104" s="2" t="inlineStr">
        <is>
          <t>Semanal</t>
        </is>
      </c>
      <c r="H104" s="2" t="inlineStr">
        <is>
          <t>60</t>
        </is>
      </c>
      <c r="I104" s="2" t="inlineStr">
        <is>
          <t>4.33</t>
        </is>
      </c>
      <c r="J104" s="2" t="inlineStr">
        <is>
          <t>No calcular aun</t>
        </is>
      </c>
      <c r="K104" s="3" t="inlineStr"/>
      <c r="L104" s="2" t="inlineStr"/>
      <c r="M104" s="3" t="inlineStr">
        <is>
          <t>Tiempo de origen (planilla Procesos Diarios) sin validar - no usar para calcular horas hasta confirmar con AB/RM</t>
        </is>
      </c>
    </row>
    <row r="105">
      <c r="A105" s="2" t="inlineStr">
        <is>
          <t>Stock</t>
        </is>
      </c>
      <c r="B105" s="2" t="inlineStr">
        <is>
          <t>Recepcion y Control de Stock Entrante</t>
        </is>
      </c>
      <c r="C105" s="3" t="inlineStr">
        <is>
          <t>Control de stock recibido</t>
        </is>
      </c>
      <c r="D105" s="3" t="inlineStr">
        <is>
          <t>A completar</t>
        </is>
      </c>
      <c r="E105" s="4" t="inlineStr">
        <is>
          <t>Se hace</t>
        </is>
      </c>
      <c r="F105" s="2" t="inlineStr">
        <is>
          <t>AB</t>
        </is>
      </c>
      <c r="G105" s="2" t="inlineStr">
        <is>
          <t>Semanal</t>
        </is>
      </c>
      <c r="H105" s="2" t="inlineStr">
        <is>
          <t>90</t>
        </is>
      </c>
      <c r="I105" s="2" t="inlineStr">
        <is>
          <t>4.33</t>
        </is>
      </c>
      <c r="J105" s="2" t="inlineStr">
        <is>
          <t>No calcular aun</t>
        </is>
      </c>
      <c r="K105" s="3" t="inlineStr"/>
      <c r="L105" s="2" t="inlineStr"/>
      <c r="M105" s="3" t="inlineStr">
        <is>
          <t>Tiempo de origen (planilla Procesos Diarios) sin validar - no usar para calcular horas hasta confirmar con AB/RM</t>
        </is>
      </c>
    </row>
    <row r="106">
      <c r="A106" s="2" t="inlineStr">
        <is>
          <t>Stock</t>
        </is>
      </c>
      <c r="B106" s="2" t="inlineStr">
        <is>
          <t>Recepcion y Control de Stock Entrante</t>
        </is>
      </c>
      <c r="C106" s="3" t="inlineStr">
        <is>
          <t>Sellado y etiquetado de stock recibido</t>
        </is>
      </c>
      <c r="D106" s="3" t="inlineStr">
        <is>
          <t>A completar</t>
        </is>
      </c>
      <c r="E106" s="4" t="inlineStr">
        <is>
          <t>Se hace</t>
        </is>
      </c>
      <c r="F106" s="2" t="inlineStr">
        <is>
          <t>AB</t>
        </is>
      </c>
      <c r="G106" s="2" t="inlineStr">
        <is>
          <t>Semanal</t>
        </is>
      </c>
      <c r="H106" s="2" t="inlineStr">
        <is>
          <t>90</t>
        </is>
      </c>
      <c r="I106" s="2" t="inlineStr">
        <is>
          <t>4.33</t>
        </is>
      </c>
      <c r="J106" s="2" t="inlineStr">
        <is>
          <t>No calcular aun</t>
        </is>
      </c>
      <c r="K106" s="3" t="inlineStr"/>
      <c r="L106" s="2" t="inlineStr"/>
      <c r="M106" s="3" t="inlineStr">
        <is>
          <t>Tiempo de origen (planilla Procesos Diarios) sin validar - no usar para calcular horas hasta confirmar con AB/RM</t>
        </is>
      </c>
    </row>
    <row r="107">
      <c r="A107" s="2" t="inlineStr">
        <is>
          <t>Stock</t>
        </is>
      </c>
      <c r="B107" s="2" t="inlineStr">
        <is>
          <t>Recepcion y Control de Stock Entrante</t>
        </is>
      </c>
      <c r="C107" s="3" t="inlineStr">
        <is>
          <t>Almacenamiento de stock recibido</t>
        </is>
      </c>
      <c r="D107" s="3" t="inlineStr">
        <is>
          <t>A completar</t>
        </is>
      </c>
      <c r="E107" s="4" t="inlineStr">
        <is>
          <t>Se hace</t>
        </is>
      </c>
      <c r="F107" s="2" t="inlineStr">
        <is>
          <t>AB</t>
        </is>
      </c>
      <c r="G107" s="2" t="inlineStr">
        <is>
          <t>Semanal</t>
        </is>
      </c>
      <c r="H107" s="2" t="inlineStr">
        <is>
          <t>90</t>
        </is>
      </c>
      <c r="I107" s="2" t="inlineStr">
        <is>
          <t>4.33</t>
        </is>
      </c>
      <c r="J107" s="2" t="inlineStr">
        <is>
          <t>No calcular aun</t>
        </is>
      </c>
      <c r="K107" s="3" t="inlineStr"/>
      <c r="L107" s="2" t="inlineStr"/>
      <c r="M107" s="3" t="inlineStr">
        <is>
          <t>Tiempo de origen (planilla Procesos Diarios) sin validar - no usar para calcular horas hasta confirmar con AB/RM</t>
        </is>
      </c>
    </row>
    <row r="108">
      <c r="A108" s="2" t="inlineStr">
        <is>
          <t>Stock</t>
        </is>
      </c>
      <c r="B108" s="2" t="inlineStr">
        <is>
          <t>Gestion de Insumos</t>
        </is>
      </c>
      <c r="C108" s="3" t="inlineStr">
        <is>
          <t>Conteo de insumos (limpieza)</t>
        </is>
      </c>
      <c r="D108" s="3" t="inlineStr">
        <is>
          <t>A completar</t>
        </is>
      </c>
      <c r="E108" s="4" t="inlineStr">
        <is>
          <t>Se hace</t>
        </is>
      </c>
      <c r="F108" s="2" t="inlineStr">
        <is>
          <t>AB</t>
        </is>
      </c>
      <c r="G108" s="2" t="inlineStr">
        <is>
          <t>Mensual</t>
        </is>
      </c>
      <c r="H108" s="2" t="inlineStr">
        <is>
          <t>10</t>
        </is>
      </c>
      <c r="I108" s="2" t="inlineStr">
        <is>
          <t>1</t>
        </is>
      </c>
      <c r="J108" s="2" t="inlineStr">
        <is>
          <t>No calcular aun</t>
        </is>
      </c>
      <c r="K108" s="3" t="inlineStr"/>
      <c r="L108" s="2" t="inlineStr"/>
      <c r="M108" s="3" t="inlineStr">
        <is>
          <t>Dia/momento: Ultimo miercoles. | Tiempo de origen (planilla Procesos Diarios) sin validar - no usar para calcular horas hasta confirmar con AB/RM</t>
        </is>
      </c>
    </row>
    <row r="109">
      <c r="A109" s="2" t="inlineStr">
        <is>
          <t>Stock</t>
        </is>
      </c>
      <c r="B109" s="2" t="inlineStr">
        <is>
          <t>Gestion de Insumos</t>
        </is>
      </c>
      <c r="C109" s="3" t="inlineStr">
        <is>
          <t>Solicitud de insumos (limpieza)</t>
        </is>
      </c>
      <c r="D109" s="3" t="inlineStr">
        <is>
          <t>A completar</t>
        </is>
      </c>
      <c r="E109" s="4" t="inlineStr">
        <is>
          <t>Se hace</t>
        </is>
      </c>
      <c r="F109" s="2" t="inlineStr">
        <is>
          <t>AB</t>
        </is>
      </c>
      <c r="G109" s="2" t="inlineStr">
        <is>
          <t>Mensual</t>
        </is>
      </c>
      <c r="H109" s="2" t="inlineStr">
        <is>
          <t>A confirmar</t>
        </is>
      </c>
      <c r="I109" s="2" t="inlineStr">
        <is>
          <t>1</t>
        </is>
      </c>
      <c r="J109" s="2" t="inlineStr">
        <is>
          <t>A confirmar</t>
        </is>
      </c>
      <c r="K109" s="3" t="inlineStr"/>
      <c r="L109" s="2" t="inlineStr"/>
      <c r="M109" s="3" t="inlineStr">
        <is>
          <t>Dia/momento: Ultimo miercoles. Nombre parcialmente ilegible en el PDF - confirmar</t>
        </is>
      </c>
    </row>
    <row r="110">
      <c r="A110" s="2" t="inlineStr">
        <is>
          <t>Stock</t>
        </is>
      </c>
      <c r="B110" s="2" t="inlineStr">
        <is>
          <t>Gestion de Insumos</t>
        </is>
      </c>
      <c r="C110" s="3" t="inlineStr">
        <is>
          <t>Conteo de insumos (cocina)</t>
        </is>
      </c>
      <c r="D110" s="3" t="inlineStr">
        <is>
          <t>A completar</t>
        </is>
      </c>
      <c r="E110" s="4" t="inlineStr">
        <is>
          <t>Se hace</t>
        </is>
      </c>
      <c r="F110" s="2" t="inlineStr">
        <is>
          <t>AB</t>
        </is>
      </c>
      <c r="G110" s="2" t="inlineStr">
        <is>
          <t>Mensual</t>
        </is>
      </c>
      <c r="H110" s="2" t="inlineStr">
        <is>
          <t>10</t>
        </is>
      </c>
      <c r="I110" s="2" t="inlineStr">
        <is>
          <t>1</t>
        </is>
      </c>
      <c r="J110" s="2" t="inlineStr">
        <is>
          <t>No calcular aun</t>
        </is>
      </c>
      <c r="K110" s="3" t="inlineStr"/>
      <c r="L110" s="2" t="inlineStr"/>
      <c r="M110" s="3" t="inlineStr">
        <is>
          <t>Dia/momento: Ultimo miercoles. | Tiempo de origen (planilla Procesos Diarios) sin validar - no usar para calcular horas hasta confirmar con AB/RM</t>
        </is>
      </c>
    </row>
    <row r="111">
      <c r="A111" s="2" t="inlineStr">
        <is>
          <t>Stock</t>
        </is>
      </c>
      <c r="B111" s="2" t="inlineStr">
        <is>
          <t>Gestion de Insumos</t>
        </is>
      </c>
      <c r="C111" s="3" t="inlineStr">
        <is>
          <t>Compra de insumos (cocina)</t>
        </is>
      </c>
      <c r="D111" s="3" t="inlineStr">
        <is>
          <t>A completar</t>
        </is>
      </c>
      <c r="E111" s="4" t="inlineStr">
        <is>
          <t>Se hace</t>
        </is>
      </c>
      <c r="F111" s="2" t="inlineStr">
        <is>
          <t>AB</t>
        </is>
      </c>
      <c r="G111" s="2" t="inlineStr">
        <is>
          <t>Mensual</t>
        </is>
      </c>
      <c r="H111" s="2" t="inlineStr">
        <is>
          <t>A confirmar</t>
        </is>
      </c>
      <c r="I111" s="2" t="inlineStr">
        <is>
          <t>1</t>
        </is>
      </c>
      <c r="J111" s="2" t="inlineStr">
        <is>
          <t>A confirmar</t>
        </is>
      </c>
      <c r="K111" s="3" t="inlineStr"/>
      <c r="L111" s="2" t="inlineStr"/>
      <c r="M111" s="3" t="inlineStr">
        <is>
          <t>Dia/momento: Ultimo miercoles. Nombre parcialmente ilegible en el PDF - confirmar</t>
        </is>
      </c>
    </row>
    <row r="112">
      <c r="A112" s="2" t="inlineStr">
        <is>
          <t>Stock</t>
        </is>
      </c>
      <c r="B112" s="2" t="inlineStr">
        <is>
          <t>Gestion de Insumos</t>
        </is>
      </c>
      <c r="C112" s="3" t="inlineStr">
        <is>
          <t>Conteo de insumos (libreria)</t>
        </is>
      </c>
      <c r="D112" s="3" t="inlineStr">
        <is>
          <t>A completar</t>
        </is>
      </c>
      <c r="E112" s="4" t="inlineStr">
        <is>
          <t>Se hace</t>
        </is>
      </c>
      <c r="F112" s="2" t="inlineStr">
        <is>
          <t>AB</t>
        </is>
      </c>
      <c r="G112" s="2" t="inlineStr">
        <is>
          <t>Mensual</t>
        </is>
      </c>
      <c r="H112" s="2" t="inlineStr">
        <is>
          <t>10</t>
        </is>
      </c>
      <c r="I112" s="2" t="inlineStr">
        <is>
          <t>1</t>
        </is>
      </c>
      <c r="J112" s="2" t="inlineStr">
        <is>
          <t>No calcular aun</t>
        </is>
      </c>
      <c r="K112" s="3" t="inlineStr"/>
      <c r="L112" s="2" t="inlineStr"/>
      <c r="M112" s="3" t="inlineStr">
        <is>
          <t>Dia/momento: Ultimo miercoles. | Tiempo de origen (planilla Procesos Diarios) sin validar - no usar para calcular horas hasta confirmar con AB/RM</t>
        </is>
      </c>
    </row>
    <row r="113">
      <c r="A113" s="2" t="inlineStr">
        <is>
          <t>Stock</t>
        </is>
      </c>
      <c r="B113" s="2" t="inlineStr">
        <is>
          <t>Gestion de Insumos</t>
        </is>
      </c>
      <c r="C113" s="3" t="inlineStr">
        <is>
          <t>Solicitud de insumos (libreria)</t>
        </is>
      </c>
      <c r="D113" s="3" t="inlineStr">
        <is>
          <t>A completar</t>
        </is>
      </c>
      <c r="E113" s="4" t="inlineStr">
        <is>
          <t>Se hace</t>
        </is>
      </c>
      <c r="F113" s="2" t="inlineStr">
        <is>
          <t>AB</t>
        </is>
      </c>
      <c r="G113" s="2" t="inlineStr">
        <is>
          <t>Mensual</t>
        </is>
      </c>
      <c r="H113" s="2" t="inlineStr">
        <is>
          <t>20</t>
        </is>
      </c>
      <c r="I113" s="2" t="inlineStr">
        <is>
          <t>1</t>
        </is>
      </c>
      <c r="J113" s="2" t="inlineStr">
        <is>
          <t>No calcular aun</t>
        </is>
      </c>
      <c r="K113" s="3" t="inlineStr"/>
      <c r="L113" s="2" t="inlineStr"/>
      <c r="M113" s="3" t="inlineStr">
        <is>
          <t>Dia/momento: Ultimo miercoles. | Tiempo de origen (planilla Procesos Diarios) sin validar - no usar para calcular horas hasta confirmar con AB/RM</t>
        </is>
      </c>
    </row>
    <row r="114">
      <c r="A114" s="2" t="inlineStr">
        <is>
          <t>Stock</t>
        </is>
      </c>
      <c r="B114" s="2" t="inlineStr">
        <is>
          <t>Gestion de Insumos</t>
        </is>
      </c>
      <c r="C114" s="3" t="inlineStr">
        <is>
          <t>Conteo de insumos (botiquin)</t>
        </is>
      </c>
      <c r="D114" s="3" t="inlineStr">
        <is>
          <t>A completar</t>
        </is>
      </c>
      <c r="E114" s="4" t="inlineStr">
        <is>
          <t>Se hace</t>
        </is>
      </c>
      <c r="F114" s="2" t="inlineStr">
        <is>
          <t>AB</t>
        </is>
      </c>
      <c r="G114" s="2" t="inlineStr">
        <is>
          <t>Mensual</t>
        </is>
      </c>
      <c r="H114" s="2" t="inlineStr">
        <is>
          <t>10</t>
        </is>
      </c>
      <c r="I114" s="2" t="inlineStr">
        <is>
          <t>1</t>
        </is>
      </c>
      <c r="J114" s="2" t="inlineStr">
        <is>
          <t>No calcular aun</t>
        </is>
      </c>
      <c r="K114" s="3" t="inlineStr"/>
      <c r="L114" s="2" t="inlineStr"/>
      <c r="M114" s="3" t="inlineStr">
        <is>
          <t>Dia/momento: Ultimo miercoles. | Tiempo de origen (planilla Procesos Diarios) sin validar - no usar para calcular horas hasta confirmar con AB/RM</t>
        </is>
      </c>
    </row>
    <row r="115">
      <c r="A115" s="2" t="inlineStr">
        <is>
          <t>Stock</t>
        </is>
      </c>
      <c r="B115" s="2" t="inlineStr">
        <is>
          <t>Gestion de Insumos</t>
        </is>
      </c>
      <c r="C115" s="3" t="inlineStr">
        <is>
          <t>Solicitud de insumos (botiquin)</t>
        </is>
      </c>
      <c r="D115" s="3" t="inlineStr">
        <is>
          <t>A completar</t>
        </is>
      </c>
      <c r="E115" s="4" t="inlineStr">
        <is>
          <t>Se hace</t>
        </is>
      </c>
      <c r="F115" s="2" t="inlineStr">
        <is>
          <t>AB</t>
        </is>
      </c>
      <c r="G115" s="2" t="inlineStr">
        <is>
          <t>Mensual</t>
        </is>
      </c>
      <c r="H115" s="2" t="inlineStr">
        <is>
          <t>20</t>
        </is>
      </c>
      <c r="I115" s="2" t="inlineStr">
        <is>
          <t>1</t>
        </is>
      </c>
      <c r="J115" s="2" t="inlineStr">
        <is>
          <t>No calcular aun</t>
        </is>
      </c>
      <c r="K115" s="3" t="inlineStr"/>
      <c r="L115" s="2" t="inlineStr"/>
      <c r="M115" s="3" t="inlineStr">
        <is>
          <t>Dia/momento: Ultimo miercoles. | Tiempo de origen (planilla Procesos Diarios) sin validar - no usar para calcular horas hasta confirmar con AB/RM</t>
        </is>
      </c>
    </row>
    <row r="116">
      <c r="A116" s="2" t="inlineStr">
        <is>
          <t>Stock</t>
        </is>
      </c>
      <c r="B116" s="2" t="inlineStr">
        <is>
          <t>Gestion de Insumos</t>
        </is>
      </c>
      <c r="C116" s="3" t="inlineStr">
        <is>
          <t>Cargar facturas de insumos</t>
        </is>
      </c>
      <c r="D116" s="3" t="inlineStr">
        <is>
          <t>A completar</t>
        </is>
      </c>
      <c r="E116" s="4" t="inlineStr">
        <is>
          <t>Se hace</t>
        </is>
      </c>
      <c r="F116" s="2" t="inlineStr">
        <is>
          <t>AB</t>
        </is>
      </c>
      <c r="G116" s="2" t="inlineStr">
        <is>
          <t>Semanal</t>
        </is>
      </c>
      <c r="H116" s="2" t="inlineStr">
        <is>
          <t>30</t>
        </is>
      </c>
      <c r="I116" s="2" t="inlineStr">
        <is>
          <t>4.33</t>
        </is>
      </c>
      <c r="J116" s="2" t="inlineStr">
        <is>
          <t>No calcular aun</t>
        </is>
      </c>
      <c r="K116" s="3" t="inlineStr"/>
      <c r="L116" s="2" t="inlineStr"/>
      <c r="M116" s="3" t="inlineStr">
        <is>
          <t>Dia/momento: Jueves. | Tiempo de origen (planilla Procesos Diarios) sin validar - no usar para calcular horas hasta confirmar con AB/RM</t>
        </is>
      </c>
    </row>
    <row r="117">
      <c r="A117" s="2" t="inlineStr">
        <is>
          <t>Stock</t>
        </is>
      </c>
      <c r="B117" s="2" t="inlineStr">
        <is>
          <t>Impresion de Documentacion</t>
        </is>
      </c>
      <c r="C117" s="3" t="inlineStr">
        <is>
          <t>Impresion de Remito (egreso de equipos)</t>
        </is>
      </c>
      <c r="D117" s="3" t="inlineStr">
        <is>
          <t>A completar</t>
        </is>
      </c>
      <c r="E117" s="4" t="inlineStr">
        <is>
          <t>Se hace</t>
        </is>
      </c>
      <c r="F117" s="2" t="inlineStr">
        <is>
          <t>AB</t>
        </is>
      </c>
      <c r="G117" s="2" t="inlineStr">
        <is>
          <t>Mensual (ideal: bimestral/trimestral)</t>
        </is>
      </c>
      <c r="H117" s="2" t="inlineStr">
        <is>
          <t>60</t>
        </is>
      </c>
      <c r="I117" s="2" t="inlineStr">
        <is>
          <t>1</t>
        </is>
      </c>
      <c r="J117" s="2" t="inlineStr">
        <is>
          <t>No calcular aun</t>
        </is>
      </c>
      <c r="K117" s="3" t="inlineStr"/>
      <c r="L117" s="2" t="inlineStr">
        <is>
          <t>Media</t>
        </is>
      </c>
      <c r="M117" s="3" t="inlineStr">
        <is>
          <t>Dia/momento: Ultimo miercoles. JL: hoy marcada mensual pero la idea es que sea bimensual/trimestral, imprimiendo de mas para no repetir seguido. Antes en 'Administracion General (AB)' como 'Control e impresion de R.E.E.'. | Tiempo de origen (planilla Procesos Diarios) sin validar - no usar para calcular horas hasta confirmar con AB/RM</t>
        </is>
      </c>
    </row>
    <row r="118">
      <c r="A118" s="2" t="inlineStr">
        <is>
          <t>Stock</t>
        </is>
      </c>
      <c r="B118" s="2" t="inlineStr">
        <is>
          <t>Impresion de Documentacion</t>
        </is>
      </c>
      <c r="C118" s="3" t="inlineStr">
        <is>
          <t>Impresion de Entrega de Instalacion</t>
        </is>
      </c>
      <c r="D118" s="3" t="inlineStr">
        <is>
          <t>A completar</t>
        </is>
      </c>
      <c r="E118" s="5" t="inlineStr">
        <is>
          <t>Debería hacerse (falta)</t>
        </is>
      </c>
      <c r="F118" s="2" t="inlineStr">
        <is>
          <t>AB</t>
        </is>
      </c>
      <c r="G118" s="2" t="inlineStr">
        <is>
          <t>A confirmar</t>
        </is>
      </c>
      <c r="H118" s="2" t="inlineStr">
        <is>
          <t>A confirmar</t>
        </is>
      </c>
      <c r="I118" s="2" t="inlineStr">
        <is>
          <t>A confirmar</t>
        </is>
      </c>
      <c r="J118" s="2" t="inlineStr">
        <is>
          <t>A confirmar</t>
        </is>
      </c>
      <c r="K118" s="3" t="inlineStr">
        <is>
          <t>Tarea nueva mencionada por JL (18/08/2026), sin tiempo/frecuencia cargada</t>
        </is>
      </c>
      <c r="L118" s="2" t="inlineStr">
        <is>
          <t>Media</t>
        </is>
      </c>
      <c r="M118" s="3" t="inlineStr">
        <is>
          <t>Probablemente compartida con RM (ver Impresion de O.D.S. en la lista de RM)</t>
        </is>
      </c>
    </row>
    <row r="119">
      <c r="A119" s="2" t="inlineStr">
        <is>
          <t>Stock</t>
        </is>
      </c>
      <c r="B119" s="2" t="inlineStr">
        <is>
          <t>Impresion de Documentacion</t>
        </is>
      </c>
      <c r="C119" s="3" t="inlineStr">
        <is>
          <t>Impresion de Directivas Tecnicas</t>
        </is>
      </c>
      <c r="D119" s="3" t="inlineStr">
        <is>
          <t>A completar</t>
        </is>
      </c>
      <c r="E119" s="5" t="inlineStr">
        <is>
          <t>Debería hacerse (falta)</t>
        </is>
      </c>
      <c r="F119" s="2" t="inlineStr">
        <is>
          <t>AB</t>
        </is>
      </c>
      <c r="G119" s="2" t="inlineStr">
        <is>
          <t>A confirmar</t>
        </is>
      </c>
      <c r="H119" s="2" t="inlineStr">
        <is>
          <t>A confirmar</t>
        </is>
      </c>
      <c r="I119" s="2" t="inlineStr">
        <is>
          <t>A confirmar</t>
        </is>
      </c>
      <c r="J119" s="2" t="inlineStr">
        <is>
          <t>A confirmar</t>
        </is>
      </c>
      <c r="K119" s="3" t="inlineStr">
        <is>
          <t>Tarea nueva mencionada por JL (18/08/2026), sin tiempo/frecuencia cargada</t>
        </is>
      </c>
      <c r="L119" s="2" t="inlineStr">
        <is>
          <t>Media</t>
        </is>
      </c>
      <c r="M119" s="3" t="inlineStr">
        <is>
          <t>Probablemente relacionada con 'Carga de Directivas tecnicas' de RM</t>
        </is>
      </c>
    </row>
    <row r="120">
      <c r="A120" s="2" t="inlineStr">
        <is>
          <t>Stock</t>
        </is>
      </c>
      <c r="B120" s="2" t="inlineStr">
        <is>
          <t>Impresion de Documentacion</t>
        </is>
      </c>
      <c r="C120" s="3" t="inlineStr">
        <is>
          <t>Impresion de Relevamientos</t>
        </is>
      </c>
      <c r="D120" s="3" t="inlineStr">
        <is>
          <t>A completar</t>
        </is>
      </c>
      <c r="E120" s="5" t="inlineStr">
        <is>
          <t>Debería hacerse (falta)</t>
        </is>
      </c>
      <c r="F120" s="2" t="inlineStr">
        <is>
          <t>AB</t>
        </is>
      </c>
      <c r="G120" s="2" t="inlineStr">
        <is>
          <t>A confirmar</t>
        </is>
      </c>
      <c r="H120" s="2" t="inlineStr">
        <is>
          <t>A confirmar</t>
        </is>
      </c>
      <c r="I120" s="2" t="inlineStr">
        <is>
          <t>A confirmar</t>
        </is>
      </c>
      <c r="J120" s="2" t="inlineStr">
        <is>
          <t>A confirmar</t>
        </is>
      </c>
      <c r="K120" s="3" t="inlineStr">
        <is>
          <t>Tarea nueva mencionada por JL (18/08/2026), sin tiempo/frecuencia cargada</t>
        </is>
      </c>
      <c r="L120" s="2" t="inlineStr">
        <is>
          <t>Media</t>
        </is>
      </c>
      <c r="M120" s="3" t="inlineStr"/>
    </row>
    <row r="121">
      <c r="A121" s="2" t="inlineStr">
        <is>
          <t>Stock</t>
        </is>
      </c>
      <c r="B121" s="2" t="inlineStr">
        <is>
          <t>Impresion de Documentacion</t>
        </is>
      </c>
      <c r="C121" s="3" t="inlineStr">
        <is>
          <t>Impresion de Guias de Usuario</t>
        </is>
      </c>
      <c r="D121" s="3" t="inlineStr">
        <is>
          <t>A completar</t>
        </is>
      </c>
      <c r="E121" s="5" t="inlineStr">
        <is>
          <t>Debería hacerse (falta)</t>
        </is>
      </c>
      <c r="F121" s="2" t="inlineStr">
        <is>
          <t>AB</t>
        </is>
      </c>
      <c r="G121" s="2" t="inlineStr">
        <is>
          <t>A confirmar</t>
        </is>
      </c>
      <c r="H121" s="2" t="inlineStr">
        <is>
          <t>A confirmar</t>
        </is>
      </c>
      <c r="I121" s="2" t="inlineStr">
        <is>
          <t>A confirmar</t>
        </is>
      </c>
      <c r="J121" s="2" t="inlineStr">
        <is>
          <t>A confirmar</t>
        </is>
      </c>
      <c r="K121" s="3" t="inlineStr">
        <is>
          <t>Tarea nueva mencionada por JL (18/08/2026), sin tiempo/frecuencia cargada</t>
        </is>
      </c>
      <c r="L121" s="2" t="inlineStr">
        <is>
          <t>Media</t>
        </is>
      </c>
      <c r="M121" s="3" t="inlineStr"/>
    </row>
    <row r="122">
      <c r="A122" s="2" t="inlineStr">
        <is>
          <t>Stock</t>
        </is>
      </c>
      <c r="B122" s="2" t="inlineStr">
        <is>
          <t>Impresion de Documentacion</t>
        </is>
      </c>
      <c r="C122" s="3" t="inlineStr">
        <is>
          <t>Impresion de Ordenes de Servicio</t>
        </is>
      </c>
      <c r="D122" s="3" t="inlineStr">
        <is>
          <t>A completar</t>
        </is>
      </c>
      <c r="E122" s="4" t="inlineStr">
        <is>
          <t>Se hace</t>
        </is>
      </c>
      <c r="F122" s="2" t="inlineStr">
        <is>
          <t>RM</t>
        </is>
      </c>
      <c r="G122" s="2" t="inlineStr">
        <is>
          <t>Mensual</t>
        </is>
      </c>
      <c r="H122" s="2" t="inlineStr">
        <is>
          <t>45</t>
        </is>
      </c>
      <c r="I122" s="2" t="inlineStr">
        <is>
          <t>1</t>
        </is>
      </c>
      <c r="J122" s="2" t="inlineStr">
        <is>
          <t>No calcular aun</t>
        </is>
      </c>
      <c r="K122" s="3" t="inlineStr"/>
      <c r="L122" s="2" t="inlineStr"/>
      <c r="M122" s="3" t="inlineStr">
        <is>
          <t>Dia/momento: Primer jueves. Ya existia como 'Control/Imprimir O.D.S.' en la lista de RM - se agrupa aca dentro de Stock &gt; Impresion de Documentacion. | Tiempo de origen (planilla Procesos Diarios) sin validar - no usar para calcular horas hasta confirmar con AB/RM</t>
        </is>
      </c>
    </row>
    <row r="123">
      <c r="A123" s="2" t="inlineStr">
        <is>
          <t>Stock</t>
        </is>
      </c>
      <c r="B123" s="2" t="inlineStr">
        <is>
          <t>Control de Flota / Vehiculos</t>
        </is>
      </c>
      <c r="C123" s="3" t="inlineStr">
        <is>
          <t>Control ITV vehiculo OYS427</t>
        </is>
      </c>
      <c r="D123" s="3" t="inlineStr">
        <is>
          <t>A completar</t>
        </is>
      </c>
      <c r="E123" s="4" t="inlineStr">
        <is>
          <t>Se hace</t>
        </is>
      </c>
      <c r="F123" s="2" t="inlineStr">
        <is>
          <t>AB</t>
        </is>
      </c>
      <c r="G123" s="2" t="inlineStr">
        <is>
          <t>Semestral</t>
        </is>
      </c>
      <c r="H123" s="2" t="inlineStr">
        <is>
          <t>120</t>
        </is>
      </c>
      <c r="I123" s="2" t="inlineStr">
        <is>
          <t>0.17</t>
        </is>
      </c>
      <c r="J123" s="2" t="inlineStr">
        <is>
          <t>No calcular aun</t>
        </is>
      </c>
      <c r="K123" s="3" t="inlineStr"/>
      <c r="L123" s="2" t="inlineStr"/>
      <c r="M123" s="3" t="inlineStr">
        <is>
          <t>Dia/momento: Nov/May. | Tiempo de origen (planilla Procesos Diarios) sin validar - no usar para calcular horas hasta confirmar con AB/RM</t>
        </is>
      </c>
    </row>
    <row r="124">
      <c r="A124" s="2" t="inlineStr">
        <is>
          <t>Stock</t>
        </is>
      </c>
      <c r="B124" s="2" t="inlineStr">
        <is>
          <t>Control de Flota / Vehiculos</t>
        </is>
      </c>
      <c r="C124" s="3" t="inlineStr">
        <is>
          <t>Control impuestos vehiculo OYS427</t>
        </is>
      </c>
      <c r="D124" s="3" t="inlineStr">
        <is>
          <t>A completar</t>
        </is>
      </c>
      <c r="E124" s="4" t="inlineStr">
        <is>
          <t>Se hace</t>
        </is>
      </c>
      <c r="F124" s="2" t="inlineStr">
        <is>
          <t>AB</t>
        </is>
      </c>
      <c r="G124" s="2" t="inlineStr">
        <is>
          <t>Semestral</t>
        </is>
      </c>
      <c r="H124" s="2" t="inlineStr">
        <is>
          <t>120</t>
        </is>
      </c>
      <c r="I124" s="2" t="inlineStr">
        <is>
          <t>0.17</t>
        </is>
      </c>
      <c r="J124" s="2" t="inlineStr">
        <is>
          <t>No calcular aun</t>
        </is>
      </c>
      <c r="K124" s="3" t="inlineStr"/>
      <c r="L124" s="2" t="inlineStr"/>
      <c r="M124" s="3" t="inlineStr">
        <is>
          <t>Dia/momento: Nov/May. | Tiempo de origen (planilla Procesos Diarios) sin validar - no usar para calcular horas hasta confirmar con AB/RM</t>
        </is>
      </c>
    </row>
    <row r="125">
      <c r="A125" s="2" t="inlineStr">
        <is>
          <t>Stock</t>
        </is>
      </c>
      <c r="B125" s="2" t="inlineStr">
        <is>
          <t>Control de Flota / Vehiculos</t>
        </is>
      </c>
      <c r="C125" s="3" t="inlineStr">
        <is>
          <t>Control ITV vehiculo AE533YE</t>
        </is>
      </c>
      <c r="D125" s="3" t="inlineStr">
        <is>
          <t>A completar</t>
        </is>
      </c>
      <c r="E125" s="4" t="inlineStr">
        <is>
          <t>Se hace</t>
        </is>
      </c>
      <c r="F125" s="2" t="inlineStr">
        <is>
          <t>AB</t>
        </is>
      </c>
      <c r="G125" s="2" t="inlineStr">
        <is>
          <t>Semestral</t>
        </is>
      </c>
      <c r="H125" s="2" t="inlineStr">
        <is>
          <t>120</t>
        </is>
      </c>
      <c r="I125" s="2" t="inlineStr">
        <is>
          <t>0.17</t>
        </is>
      </c>
      <c r="J125" s="2" t="inlineStr">
        <is>
          <t>No calcular aun</t>
        </is>
      </c>
      <c r="K125" s="3" t="inlineStr"/>
      <c r="L125" s="2" t="inlineStr"/>
      <c r="M125" s="3" t="inlineStr">
        <is>
          <t>Dia/momento: Nov/May. | Tiempo de origen (planilla Procesos Diarios) sin validar - no usar para calcular horas hasta confirmar con AB/RM</t>
        </is>
      </c>
    </row>
    <row r="126">
      <c r="A126" s="2" t="inlineStr">
        <is>
          <t>Stock</t>
        </is>
      </c>
      <c r="B126" s="2" t="inlineStr">
        <is>
          <t>Control de Flota / Vehiculos</t>
        </is>
      </c>
      <c r="C126" s="3" t="inlineStr">
        <is>
          <t>Control impuestos vehiculo AE533YE</t>
        </is>
      </c>
      <c r="D126" s="3" t="inlineStr">
        <is>
          <t>A completar</t>
        </is>
      </c>
      <c r="E126" s="4" t="inlineStr">
        <is>
          <t>Se hace</t>
        </is>
      </c>
      <c r="F126" s="2" t="inlineStr">
        <is>
          <t>AB</t>
        </is>
      </c>
      <c r="G126" s="2" t="inlineStr">
        <is>
          <t>Semestral</t>
        </is>
      </c>
      <c r="H126" s="2" t="inlineStr">
        <is>
          <t>120</t>
        </is>
      </c>
      <c r="I126" s="2" t="inlineStr">
        <is>
          <t>0.17</t>
        </is>
      </c>
      <c r="J126" s="2" t="inlineStr">
        <is>
          <t>No calcular aun</t>
        </is>
      </c>
      <c r="K126" s="3" t="inlineStr"/>
      <c r="L126" s="2" t="inlineStr"/>
      <c r="M126" s="3" t="inlineStr">
        <is>
          <t>Dia/momento: Nov/May. | Tiempo de origen (planilla Procesos Diarios) sin validar - no usar para calcular horas hasta confirmar con AB/RM</t>
        </is>
      </c>
    </row>
    <row r="127">
      <c r="A127" s="2" t="inlineStr">
        <is>
          <t>Stock</t>
        </is>
      </c>
      <c r="B127" s="2" t="inlineStr">
        <is>
          <t>Control de Flota / Vehiculos</t>
        </is>
      </c>
      <c r="C127" s="3" t="inlineStr">
        <is>
          <t>Control de deudas (por vehiculo)</t>
        </is>
      </c>
      <c r="D127" s="3" t="inlineStr">
        <is>
          <t>A completar</t>
        </is>
      </c>
      <c r="E127" s="5" t="inlineStr">
        <is>
          <t>Debería hacerse (falta)</t>
        </is>
      </c>
      <c r="F127" s="2" t="inlineStr">
        <is>
          <t>AB</t>
        </is>
      </c>
      <c r="G127" s="2" t="inlineStr">
        <is>
          <t>A confirmar</t>
        </is>
      </c>
      <c r="H127" s="2" t="inlineStr">
        <is>
          <t>A confirmar</t>
        </is>
      </c>
      <c r="I127" s="2" t="inlineStr">
        <is>
          <t>A confirmar</t>
        </is>
      </c>
      <c r="J127" s="2" t="inlineStr">
        <is>
          <t>A confirmar</t>
        </is>
      </c>
      <c r="K127" s="3" t="inlineStr">
        <is>
          <t>Tarea nueva identificada por JL (18/08/2026), sin tiempo/frecuencia cargada</t>
        </is>
      </c>
      <c r="L127" s="2" t="inlineStr">
        <is>
          <t>Alta</t>
        </is>
      </c>
      <c r="M127" s="3" t="inlineStr">
        <is>
          <t>Falta definir para cuales vehiculos y con que frecuencia</t>
        </is>
      </c>
    </row>
    <row r="128">
      <c r="A128" s="2" t="inlineStr">
        <is>
          <t>Stock</t>
        </is>
      </c>
      <c r="B128" s="2" t="inlineStr">
        <is>
          <t>Control de Flota / Vehiculos</t>
        </is>
      </c>
      <c r="C128" s="3" t="inlineStr">
        <is>
          <t>Control de multas (por vehiculo)</t>
        </is>
      </c>
      <c r="D128" s="3" t="inlineStr">
        <is>
          <t>A completar</t>
        </is>
      </c>
      <c r="E128" s="5" t="inlineStr">
        <is>
          <t>Debería hacerse (falta)</t>
        </is>
      </c>
      <c r="F128" s="2" t="inlineStr">
        <is>
          <t>AB</t>
        </is>
      </c>
      <c r="G128" s="2" t="inlineStr">
        <is>
          <t>A confirmar</t>
        </is>
      </c>
      <c r="H128" s="2" t="inlineStr">
        <is>
          <t>A confirmar</t>
        </is>
      </c>
      <c r="I128" s="2" t="inlineStr">
        <is>
          <t>A confirmar</t>
        </is>
      </c>
      <c r="J128" s="2" t="inlineStr">
        <is>
          <t>A confirmar</t>
        </is>
      </c>
      <c r="K128" s="3" t="inlineStr">
        <is>
          <t>Tarea nueva identificada por JL (18/08/2026), sin tiempo/frecuencia cargada</t>
        </is>
      </c>
      <c r="L128" s="2" t="inlineStr">
        <is>
          <t>Alta</t>
        </is>
      </c>
      <c r="M128" s="3" t="inlineStr">
        <is>
          <t>Falta definir para cuales vehiculos y con que frecuencia</t>
        </is>
      </c>
    </row>
    <row r="129">
      <c r="A129" s="2" t="inlineStr">
        <is>
          <t>Stock</t>
        </is>
      </c>
      <c r="B129" s="2" t="inlineStr">
        <is>
          <t>Control de Flota / Vehiculos</t>
        </is>
      </c>
      <c r="C129" s="3" t="inlineStr">
        <is>
          <t>GAP: 2 vehiculos sin control asignado</t>
        </is>
      </c>
      <c r="D129" s="3" t="inlineStr">
        <is>
          <t>Cubrir el control de toda la flota, no solo una parte</t>
        </is>
      </c>
      <c r="E129" s="5" t="inlineStr">
        <is>
          <t>Debería hacerse (falta)</t>
        </is>
      </c>
      <c r="F129" s="2" t="inlineStr">
        <is>
          <t>Sin asignar</t>
        </is>
      </c>
      <c r="G129" s="2" t="inlineStr">
        <is>
          <t>N/A</t>
        </is>
      </c>
      <c r="H129" s="2" t="inlineStr">
        <is>
          <t>N/A</t>
        </is>
      </c>
      <c r="I129" s="2" t="inlineStr">
        <is>
          <t>N/A</t>
        </is>
      </c>
      <c r="J129" s="2" t="inlineStr">
        <is>
          <t>N/A</t>
        </is>
      </c>
      <c r="K129" s="3" t="inlineStr">
        <is>
          <t>Empresa tiene 6 vehiculos en total (3 de los duenos + 3 de la empresa); hoy solo 4 estan controlados (2 por AB, 2 por RM)</t>
        </is>
      </c>
      <c r="L129" s="2" t="inlineStr">
        <is>
          <t>Alta</t>
        </is>
      </c>
      <c r="M129" s="3" t="inlineStr">
        <is>
          <t>JL (18/08/2026): 'las que tenemos que ver realmente son seis'</t>
        </is>
      </c>
    </row>
    <row r="130">
      <c r="A130" s="2" t="inlineStr">
        <is>
          <t>Stock</t>
        </is>
      </c>
      <c r="B130" s="2" t="inlineStr">
        <is>
          <t>Puesta en Valor de Equipos (nombre tentativo)</t>
        </is>
      </c>
      <c r="C130" s="3" t="inlineStr">
        <is>
          <t>Recuperacion de equipos CP4000</t>
        </is>
      </c>
      <c r="D130" s="3" t="inlineStr">
        <is>
          <t>Recuperar equipos usados / configurar equipos nuevos</t>
        </is>
      </c>
      <c r="E130" s="4" t="inlineStr">
        <is>
          <t>Se hace</t>
        </is>
      </c>
      <c r="F130" s="2" t="inlineStr">
        <is>
          <t>AB</t>
        </is>
      </c>
      <c r="G130" s="2" t="inlineStr">
        <is>
          <t>A confirmar</t>
        </is>
      </c>
      <c r="H130" s="2" t="inlineStr">
        <is>
          <t>A confirmar</t>
        </is>
      </c>
      <c r="I130" s="2" t="inlineStr">
        <is>
          <t>A confirmar</t>
        </is>
      </c>
      <c r="J130" s="2" t="inlineStr"/>
      <c r="K130" s="3" t="inlineStr"/>
      <c r="L130" s="2" t="inlineStr"/>
      <c r="M130" s="3" t="inlineStr">
        <is>
          <t>JL (18/08/2026): no sabia bien donde etiquetarla, la puso como nuevo procedimiento tentativo dentro de Stock</t>
        </is>
      </c>
    </row>
    <row r="131">
      <c r="A131" s="2" t="inlineStr">
        <is>
          <t>Stock</t>
        </is>
      </c>
      <c r="B131" s="2" t="inlineStr">
        <is>
          <t>Puesta en Valor de Equipos (nombre tentativo)</t>
        </is>
      </c>
      <c r="C131" s="3" t="inlineStr">
        <is>
          <t>Recuperacion de equipos AXpro</t>
        </is>
      </c>
      <c r="D131" s="3" t="inlineStr">
        <is>
          <t>Recuperar equipos usados / configurar equipos nuevos</t>
        </is>
      </c>
      <c r="E131" s="4" t="inlineStr">
        <is>
          <t>Se hace</t>
        </is>
      </c>
      <c r="F131" s="2" t="inlineStr">
        <is>
          <t>AB</t>
        </is>
      </c>
      <c r="G131" s="2" t="inlineStr">
        <is>
          <t>A confirmar</t>
        </is>
      </c>
      <c r="H131" s="2" t="inlineStr">
        <is>
          <t>A confirmar</t>
        </is>
      </c>
      <c r="I131" s="2" t="inlineStr">
        <is>
          <t>A confirmar</t>
        </is>
      </c>
      <c r="J131" s="2" t="inlineStr"/>
      <c r="K131" s="3" t="inlineStr"/>
      <c r="L131" s="2" t="inlineStr"/>
      <c r="M131" s="3" t="inlineStr">
        <is>
          <t>JL (18/08/2026): idem anterior</t>
        </is>
      </c>
    </row>
    <row r="132">
      <c r="A132" s="2" t="inlineStr">
        <is>
          <t>Stock</t>
        </is>
      </c>
      <c r="B132" s="2" t="inlineStr">
        <is>
          <t>Control de Stock - Sede NCS</t>
        </is>
      </c>
      <c r="C132" s="3" t="inlineStr">
        <is>
          <t>Reposicion de Stock NCS</t>
        </is>
      </c>
      <c r="D132" s="3" t="inlineStr">
        <is>
          <t>A completar</t>
        </is>
      </c>
      <c r="E132" s="4" t="inlineStr">
        <is>
          <t>Se hace</t>
        </is>
      </c>
      <c r="F132" s="2" t="inlineStr">
        <is>
          <t>AB</t>
        </is>
      </c>
      <c r="G132" s="2" t="inlineStr">
        <is>
          <t>Semanal</t>
        </is>
      </c>
      <c r="H132" s="2" t="inlineStr">
        <is>
          <t>60</t>
        </is>
      </c>
      <c r="I132" s="2" t="inlineStr">
        <is>
          <t>4.33</t>
        </is>
      </c>
      <c r="J132" s="2" t="inlineStr">
        <is>
          <t>No calcular aun</t>
        </is>
      </c>
      <c r="K132" s="3" t="inlineStr"/>
      <c r="L132" s="2" t="inlineStr"/>
      <c r="M132" s="3" t="inlineStr">
        <is>
          <t>Dia/momento: Jueves. Dia real relevado es jueves, no viernes - confirmar. | Tiempo de origen (planilla Procesos Diarios) sin validar - no usar para calcular horas hasta confirmar con AB/RM</t>
        </is>
      </c>
    </row>
    <row r="133">
      <c r="A133" s="2" t="inlineStr">
        <is>
          <t>Stock</t>
        </is>
      </c>
      <c r="B133" s="2" t="inlineStr">
        <is>
          <t>Control de Stock - Sede NCS</t>
        </is>
      </c>
      <c r="C133" s="3" t="inlineStr">
        <is>
          <t>Control de Stock NCS (sistema XBIS)</t>
        </is>
      </c>
      <c r="D133" s="3" t="inlineStr">
        <is>
          <t>A completar</t>
        </is>
      </c>
      <c r="E133" s="4" t="inlineStr">
        <is>
          <t>Se hace</t>
        </is>
      </c>
      <c r="F133" s="2" t="inlineStr">
        <is>
          <t>AB</t>
        </is>
      </c>
      <c r="G133" s="2" t="inlineStr">
        <is>
          <t>Semanal</t>
        </is>
      </c>
      <c r="H133" s="2" t="inlineStr">
        <is>
          <t>A confirmar</t>
        </is>
      </c>
      <c r="I133" s="2" t="inlineStr">
        <is>
          <t>4.33</t>
        </is>
      </c>
      <c r="J133" s="2" t="inlineStr">
        <is>
          <t>A confirmar</t>
        </is>
      </c>
      <c r="K133" s="3" t="inlineStr"/>
      <c r="L133" s="2" t="inlineStr"/>
      <c r="M133" s="3" t="inlineStr">
        <is>
          <t>Dia/momento: Miercoles. Antes era 1 sola tarea 'Control stock NCS y conteo (Ezviz/Easy)'; JL aclaro que son 2 sistemas distintos (XBIS y EZLink) - se separa en 2 tareas, falta tiempo de cada una</t>
        </is>
      </c>
    </row>
    <row r="134">
      <c r="A134" s="2" t="inlineStr">
        <is>
          <t>Stock</t>
        </is>
      </c>
      <c r="B134" s="2" t="inlineStr">
        <is>
          <t>Control de Stock - Sede NCS</t>
        </is>
      </c>
      <c r="C134" s="3" t="inlineStr">
        <is>
          <t>Control de Stock NCS (sistema EZLink)</t>
        </is>
      </c>
      <c r="D134" s="3" t="inlineStr">
        <is>
          <t>A completar</t>
        </is>
      </c>
      <c r="E134" s="4" t="inlineStr">
        <is>
          <t>Se hace</t>
        </is>
      </c>
      <c r="F134" s="2" t="inlineStr">
        <is>
          <t>AB</t>
        </is>
      </c>
      <c r="G134" s="2" t="inlineStr">
        <is>
          <t>Semanal</t>
        </is>
      </c>
      <c r="H134" s="2" t="inlineStr">
        <is>
          <t>A confirmar</t>
        </is>
      </c>
      <c r="I134" s="2" t="inlineStr">
        <is>
          <t>4.33</t>
        </is>
      </c>
      <c r="J134" s="2" t="inlineStr">
        <is>
          <t>A confirmar</t>
        </is>
      </c>
      <c r="K134" s="3" t="inlineStr"/>
      <c r="L134" s="2" t="inlineStr"/>
      <c r="M134" s="3" t="inlineStr">
        <is>
          <t>Dia/momento: Miercoles. Ver nota en la fila de XBIS</t>
        </is>
      </c>
    </row>
    <row r="135">
      <c r="A135" s="2" t="inlineStr">
        <is>
          <t>Stock</t>
        </is>
      </c>
      <c r="B135" s="2" t="inlineStr">
        <is>
          <t>Control de Receptoras</t>
        </is>
      </c>
      <c r="C135" s="3" t="inlineStr">
        <is>
          <t>Control de buen estado receptoras IPR512 (R-04)</t>
        </is>
      </c>
      <c r="D135" s="3" t="inlineStr">
        <is>
          <t>Corroborar que las receptoras funcionen correctamente</t>
        </is>
      </c>
      <c r="E135" s="4" t="inlineStr">
        <is>
          <t>Se hace</t>
        </is>
      </c>
      <c r="F135" s="2" t="inlineStr">
        <is>
          <t>AB</t>
        </is>
      </c>
      <c r="G135" s="2" t="inlineStr">
        <is>
          <t>Diario</t>
        </is>
      </c>
      <c r="H135" s="2" t="inlineStr">
        <is>
          <t>10</t>
        </is>
      </c>
      <c r="I135" s="2" t="inlineStr">
        <is>
          <t>22</t>
        </is>
      </c>
      <c r="J135" s="2" t="inlineStr">
        <is>
          <t>No calcular aun</t>
        </is>
      </c>
      <c r="K135" s="3" t="inlineStr"/>
      <c r="L135" s="2" t="inlineStr"/>
      <c r="M135" s="3" t="inlineStr">
        <is>
          <t>Tiempo de origen (planilla Procesos Diarios) sin validar - no usar para calcular horas hasta confirmar con AB/RM</t>
        </is>
      </c>
    </row>
    <row r="136">
      <c r="A136" s="2" t="inlineStr">
        <is>
          <t>Stock</t>
        </is>
      </c>
      <c r="B136" s="2" t="inlineStr">
        <is>
          <t>Control de Receptoras</t>
        </is>
      </c>
      <c r="C136" s="3" t="inlineStr">
        <is>
          <t>Mandar mensajes a AVATEC 01</t>
        </is>
      </c>
      <c r="D136" s="3" t="inlineStr">
        <is>
          <t>Corroborar que los dispositivos AVATEC del datacenter funcionen correctamente</t>
        </is>
      </c>
      <c r="E136" s="4" t="inlineStr">
        <is>
          <t>Se hace</t>
        </is>
      </c>
      <c r="F136" s="2" t="inlineStr">
        <is>
          <t>AB</t>
        </is>
      </c>
      <c r="G136" s="2" t="inlineStr">
        <is>
          <t>Diario</t>
        </is>
      </c>
      <c r="H136" s="2" t="inlineStr">
        <is>
          <t>10</t>
        </is>
      </c>
      <c r="I136" s="2" t="inlineStr">
        <is>
          <t>22</t>
        </is>
      </c>
      <c r="J136" s="2" t="inlineStr">
        <is>
          <t>No calcular aun</t>
        </is>
      </c>
      <c r="K136" s="3" t="inlineStr"/>
      <c r="L136" s="2" t="inlineStr"/>
      <c r="M136" s="3" t="inlineStr">
        <is>
          <t>Reubicada desde 'Administracion General (AB)'. | Tiempo de origen (planilla Procesos Diarios) sin validar - no usar para calcular horas hasta confirmar con AB/RM</t>
        </is>
      </c>
    </row>
    <row r="137">
      <c r="A137" s="2" t="inlineStr">
        <is>
          <t>Stock</t>
        </is>
      </c>
      <c r="B137" s="2" t="inlineStr">
        <is>
          <t>Control de Receptoras</t>
        </is>
      </c>
      <c r="C137" s="3" t="inlineStr">
        <is>
          <t>GAP: protocolo cuando una receptora no funciona</t>
        </is>
      </c>
      <c r="D137" s="3" t="inlineStr">
        <is>
          <t>Definir que hacer ante una falla, no solo detectarla</t>
        </is>
      </c>
      <c r="E137" s="5" t="inlineStr">
        <is>
          <t>Debería hacerse (falta)</t>
        </is>
      </c>
      <c r="F137" s="2" t="inlineStr">
        <is>
          <t>Sin asignar</t>
        </is>
      </c>
      <c r="G137" s="2" t="inlineStr">
        <is>
          <t>N/A</t>
        </is>
      </c>
      <c r="H137" s="2" t="inlineStr">
        <is>
          <t>N/A</t>
        </is>
      </c>
      <c r="I137" s="2" t="inlineStr">
        <is>
          <t>N/A</t>
        </is>
      </c>
      <c r="J137" s="2" t="inlineStr">
        <is>
          <t>N/A</t>
        </is>
      </c>
      <c r="K137" s="3" t="inlineStr">
        <is>
          <t>No existe procedimiento definido para el caso de falla</t>
        </is>
      </c>
      <c r="L137" s="2" t="inlineStr">
        <is>
          <t>Alta</t>
        </is>
      </c>
      <c r="M137" s="3" t="inlineStr">
        <is>
          <t>JL (18/08/2026): 'habria que hacer un proceso de saber que hacer cuando no funcionan correctamente'</t>
        </is>
      </c>
    </row>
    <row r="138">
      <c r="A138" s="2" t="inlineStr">
        <is>
          <t>Stock</t>
        </is>
      </c>
      <c r="B138" s="2" t="inlineStr">
        <is>
          <t>Control de Carteleria</t>
        </is>
      </c>
      <c r="C138" s="3" t="inlineStr">
        <is>
          <t>Control de carteleria</t>
        </is>
      </c>
      <c r="D138" s="3" t="inlineStr">
        <is>
          <t>Saber si hay stock de carteles para el mes y hacer la solicitud</t>
        </is>
      </c>
      <c r="E138" s="4" t="inlineStr">
        <is>
          <t>Se hace</t>
        </is>
      </c>
      <c r="F138" s="2" t="inlineStr">
        <is>
          <t>AB</t>
        </is>
      </c>
      <c r="G138" s="2" t="inlineStr">
        <is>
          <t>Mensual</t>
        </is>
      </c>
      <c r="H138" s="2" t="inlineStr">
        <is>
          <t>5</t>
        </is>
      </c>
      <c r="I138" s="2" t="inlineStr">
        <is>
          <t>1</t>
        </is>
      </c>
      <c r="J138" s="2" t="inlineStr">
        <is>
          <t>No calcular aun</t>
        </is>
      </c>
      <c r="K138" s="3" t="inlineStr"/>
      <c r="L138" s="2" t="inlineStr"/>
      <c r="M138" s="3" t="inlineStr">
        <is>
          <t>Dia/momento: Primer dia. Reubicada desde 'Administracion General (AB)'; ubicacion dentro de Stock es tentativa, JL no la asigno explicitamente. | Tiempo de origen (planilla Procesos Diarios) sin validar - no usar para calcular horas hasta confirmar con AB/RM</t>
        </is>
      </c>
    </row>
  </sheetData>
  <autoFilter ref="A1:M538"/>
  <dataValidations count="1">
    <dataValidation sqref="E2:E538" showDropDown="0" showInputMessage="0" showErrorMessage="0" allowBlank="1" errorTitle="Estado inválido" error="Elegí una opción de la lista" type="list">
      <formula1>"Se hace,Debería hacerse (falta),Mejora futura"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80" customWidth="1" min="1" max="1"/>
  </cols>
  <sheetData>
    <row r="1">
      <c r="A1" s="6" t="inlineStr">
        <is>
          <t>Como usar esta planilla</t>
        </is>
      </c>
    </row>
    <row r="2">
      <c r="A2" s="7" t="inlineStr"/>
    </row>
    <row r="3">
      <c r="A3" s="7" t="inlineStr">
        <is>
          <t>Cada fila es UNA tarea. Las columnas Proceso y Procedimiento la ubican</t>
        </is>
      </c>
    </row>
    <row r="4">
      <c r="A4" s="7" t="inlineStr">
        <is>
          <t>dentro de la jerarquia (ver docs/glosario-procesos.md en el repo).</t>
        </is>
      </c>
    </row>
    <row r="5">
      <c r="A5" s="7" t="inlineStr"/>
    </row>
    <row r="6">
      <c r="A6" s="7" t="inlineStr">
        <is>
          <t>Para agregar un modulo/tarea nueva: escribi una fila nueva debajo de</t>
        </is>
      </c>
    </row>
    <row r="7">
      <c r="A7" s="7" t="inlineStr">
        <is>
          <t>la ultima. El filtro y el formato ya cubren 400 filas de margen, asi</t>
        </is>
      </c>
    </row>
    <row r="8">
      <c r="A8" s="7" t="inlineStr">
        <is>
          <t>que no hace falta rehacer nada - solo completar las columnas.</t>
        </is>
      </c>
    </row>
    <row r="9">
      <c r="A9" s="7" t="inlineStr"/>
    </row>
    <row r="10">
      <c r="A10" s="7" t="inlineStr">
        <is>
          <t>Columna Estado tiene una lista desplegable: Se hace / Deberia hacerse</t>
        </is>
      </c>
    </row>
    <row r="11">
      <c r="A11" s="7" t="inlineStr">
        <is>
          <t>(falta) / Mejora futura. Al elegir 'Se hace' o 'Deberia hacerse (falta)'</t>
        </is>
      </c>
    </row>
    <row r="12">
      <c r="A12" s="7" t="inlineStr">
        <is>
          <t>la celda se colorea sola (verde o naranja).</t>
        </is>
      </c>
    </row>
    <row r="13">
      <c r="A13" s="7" t="inlineStr"/>
    </row>
    <row r="14">
      <c r="A14" s="7" t="inlineStr">
        <is>
          <t>No completes 'Horas-persona/mes' a mano con numeros calculados a ojo -</t>
        </is>
      </c>
    </row>
    <row r="15">
      <c r="A15" s="7" t="inlineStr">
        <is>
          <t>ver docs/resumen-carga-horaria.md sobre por que eso genero un error</t>
        </is>
      </c>
    </row>
    <row r="16">
      <c r="A16" s="7" t="inlineStr">
        <is>
          <t>antes. Deja 'A confirmar' hasta tener un tiempo medido de verdad.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2026-08-21T17:58:03Z</dcterms:created>
  <dcterms:modified xsi:type="dcterms:W3CDTF">2026-08-21T18:52:43Z</dcterms:modified>
</cp:coreProperties>
</file>